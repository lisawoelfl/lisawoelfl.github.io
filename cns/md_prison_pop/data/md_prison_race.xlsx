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awolfl/Desktop/ARBEIT/UMD/Interactive Design 652/j652/lisawoelfl.github.io/cns/md_prison_pop/data/"/>
    </mc:Choice>
  </mc:AlternateContent>
  <xr:revisionPtr revIDLastSave="0" documentId="13_ncr:1_{51F177DD-87DD-D644-A54D-DF135F407E76}" xr6:coauthVersionLast="47" xr6:coauthVersionMax="47" xr10:uidLastSave="{00000000-0000-0000-0000-000000000000}"/>
  <bookViews>
    <workbookView xWindow="0" yWindow="760" windowWidth="30240" windowHeight="17400" xr2:uid="{E61D12A7-0DEC-BE4C-B7A5-A11A1AC33FCC}"/>
  </bookViews>
  <sheets>
    <sheet name="Tabelle1" sheetId="1" r:id="rId1"/>
    <sheet name="Tabelle3" sheetId="3" r:id="rId2"/>
    <sheet name="Tabelle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" i="3"/>
  <c r="V36" i="1"/>
  <c r="V35" i="1"/>
  <c r="V33" i="1"/>
  <c r="V32" i="1"/>
  <c r="AB3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AB37" i="1"/>
  <c r="AA25" i="1"/>
  <c r="AB36" i="1"/>
  <c r="AB33" i="1"/>
  <c r="AA17" i="1"/>
  <c r="AA18" i="1"/>
  <c r="AB18" i="1" s="1"/>
  <c r="AC18" i="1" s="1"/>
  <c r="AA19" i="1"/>
  <c r="AB19" i="1" s="1"/>
  <c r="AC19" i="1" s="1"/>
  <c r="AA20" i="1"/>
  <c r="AA21" i="1"/>
  <c r="AB21" i="1" s="1"/>
  <c r="AC21" i="1" s="1"/>
  <c r="AA22" i="1"/>
  <c r="AB22" i="1" s="1"/>
  <c r="AC22" i="1" s="1"/>
  <c r="AA23" i="1"/>
  <c r="AB23" i="1" s="1"/>
  <c r="AC23" i="1" s="1"/>
  <c r="AA24" i="1"/>
  <c r="AB24" i="1" s="1"/>
  <c r="AC24" i="1" s="1"/>
  <c r="AA16" i="1"/>
  <c r="AA3" i="1"/>
  <c r="AB3" i="1" s="1"/>
  <c r="AC3" i="1" s="1"/>
  <c r="AA4" i="1"/>
  <c r="AB4" i="1" s="1"/>
  <c r="AC4" i="1" s="1"/>
  <c r="AA5" i="1"/>
  <c r="AA6" i="1"/>
  <c r="AB6" i="1" s="1"/>
  <c r="AC6" i="1" s="1"/>
  <c r="AA7" i="1"/>
  <c r="AA8" i="1"/>
  <c r="AB8" i="1" s="1"/>
  <c r="AC8" i="1" s="1"/>
  <c r="AA9" i="1"/>
  <c r="AB9" i="1" s="1"/>
  <c r="AC9" i="1" s="1"/>
  <c r="AA10" i="1"/>
  <c r="AA11" i="1"/>
  <c r="AB11" i="1" s="1"/>
  <c r="AC11" i="1" s="1"/>
  <c r="AA12" i="1"/>
  <c r="AB12" i="1" s="1"/>
  <c r="AC12" i="1" s="1"/>
  <c r="AA13" i="1"/>
  <c r="AA14" i="1"/>
  <c r="AB14" i="1" s="1"/>
  <c r="AC14" i="1" s="1"/>
  <c r="AA15" i="1"/>
  <c r="AA2" i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3" i="1"/>
  <c r="U25" i="1"/>
  <c r="V25" i="1"/>
  <c r="U24" i="1"/>
  <c r="V24" i="1"/>
  <c r="U23" i="1"/>
  <c r="V23" i="1"/>
  <c r="U22" i="1"/>
  <c r="V22" i="1"/>
  <c r="U21" i="1"/>
  <c r="V21" i="1"/>
  <c r="U20" i="1"/>
  <c r="V20" i="1"/>
  <c r="V19" i="1"/>
  <c r="U18" i="1"/>
  <c r="U19" i="1"/>
  <c r="V18" i="1"/>
  <c r="U17" i="1"/>
  <c r="V17" i="1"/>
  <c r="U16" i="1"/>
  <c r="V16" i="1"/>
  <c r="U15" i="1"/>
  <c r="V15" i="1"/>
  <c r="U14" i="1"/>
  <c r="V14" i="1"/>
  <c r="U13" i="1"/>
  <c r="V13" i="1"/>
  <c r="U11" i="1"/>
  <c r="V11" i="1"/>
  <c r="U12" i="1"/>
  <c r="V12" i="1"/>
  <c r="U10" i="1"/>
  <c r="V10" i="1"/>
  <c r="U9" i="1"/>
  <c r="V9" i="1"/>
  <c r="U8" i="1"/>
  <c r="V8" i="1"/>
  <c r="U7" i="1"/>
  <c r="V7" i="1"/>
  <c r="U6" i="1"/>
  <c r="V6" i="1"/>
  <c r="V5" i="1"/>
  <c r="U5" i="1"/>
  <c r="V3" i="1"/>
  <c r="V4" i="1"/>
  <c r="U3" i="1"/>
  <c r="U4" i="1"/>
  <c r="V2" i="1"/>
  <c r="U2" i="1"/>
  <c r="AB17" i="1" l="1"/>
  <c r="AC17" i="1" s="1"/>
  <c r="AB16" i="1"/>
  <c r="AC16" i="1" s="1"/>
  <c r="X27" i="1"/>
  <c r="AB13" i="1"/>
  <c r="AC13" i="1" s="1"/>
  <c r="AB5" i="1"/>
  <c r="AC5" i="1" s="1"/>
  <c r="AB20" i="1"/>
  <c r="AC20" i="1" s="1"/>
  <c r="Y3" i="1"/>
  <c r="AB10" i="1"/>
  <c r="AC10" i="1" s="1"/>
  <c r="AB25" i="1"/>
  <c r="AC25" i="1" s="1"/>
  <c r="AB15" i="1"/>
  <c r="AC15" i="1" s="1"/>
  <c r="AB7" i="1"/>
  <c r="AC7" i="1" s="1"/>
  <c r="AB27" i="1" l="1"/>
</calcChain>
</file>

<file path=xl/sharedStrings.xml><?xml version="1.0" encoding="utf-8"?>
<sst xmlns="http://schemas.openxmlformats.org/spreadsheetml/2006/main" count="295" uniqueCount="85">
  <si>
    <t>quarter</t>
  </si>
  <si>
    <t>year</t>
  </si>
  <si>
    <t>male</t>
  </si>
  <si>
    <t>female</t>
  </si>
  <si>
    <t>black #</t>
  </si>
  <si>
    <t>black %</t>
  </si>
  <si>
    <t>white #</t>
  </si>
  <si>
    <t>white %</t>
  </si>
  <si>
    <t>native #</t>
  </si>
  <si>
    <t>native %</t>
  </si>
  <si>
    <t>asian #</t>
  </si>
  <si>
    <t>asian %</t>
  </si>
  <si>
    <t>unknown #</t>
  </si>
  <si>
    <t>unknown %</t>
  </si>
  <si>
    <t>total</t>
  </si>
  <si>
    <t>0.3</t>
  </si>
  <si>
    <t>0.4</t>
  </si>
  <si>
    <t>0.9</t>
  </si>
  <si>
    <t>28.4</t>
  </si>
  <si>
    <t>28.1</t>
  </si>
  <si>
    <t>test total race</t>
  </si>
  <si>
    <t>test total sex</t>
  </si>
  <si>
    <t>27.8</t>
  </si>
  <si>
    <t>0.8</t>
  </si>
  <si>
    <t>27.5</t>
  </si>
  <si>
    <t>27.3</t>
  </si>
  <si>
    <t>26.8</t>
  </si>
  <si>
    <t>26.4</t>
  </si>
  <si>
    <t>26.5</t>
  </si>
  <si>
    <t>26.2</t>
  </si>
  <si>
    <t>month</t>
  </si>
  <si>
    <t>Oct. 2018</t>
  </si>
  <si>
    <t>Oct. 2017</t>
  </si>
  <si>
    <t>Jan. 2018</t>
  </si>
  <si>
    <t>July 2018</t>
  </si>
  <si>
    <t>Jan 2019</t>
  </si>
  <si>
    <t>July 2019</t>
  </si>
  <si>
    <t>Oct 2019</t>
  </si>
  <si>
    <t>Jan 2020</t>
  </si>
  <si>
    <t>Jan 2021</t>
  </si>
  <si>
    <t>July 2020</t>
  </si>
  <si>
    <t>Oct 2020</t>
  </si>
  <si>
    <t>1.0</t>
  </si>
  <si>
    <t>April 2018</t>
  </si>
  <si>
    <t>April 2019</t>
  </si>
  <si>
    <t>April 2020</t>
  </si>
  <si>
    <t>April 2021</t>
  </si>
  <si>
    <t>22.7</t>
  </si>
  <si>
    <t>latinx #</t>
  </si>
  <si>
    <t>latinx %</t>
  </si>
  <si>
    <t>4.5</t>
  </si>
  <si>
    <t>0.2</t>
  </si>
  <si>
    <t>July 2021</t>
  </si>
  <si>
    <t>22.5</t>
  </si>
  <si>
    <t>4.7</t>
  </si>
  <si>
    <t>Oct 2021</t>
  </si>
  <si>
    <t>22. 7</t>
  </si>
  <si>
    <t>Jan 2022</t>
  </si>
  <si>
    <t>April 2022</t>
  </si>
  <si>
    <t>22.9</t>
  </si>
  <si>
    <t>4.6</t>
  </si>
  <si>
    <t>July 2022</t>
  </si>
  <si>
    <t>4.8</t>
  </si>
  <si>
    <t>Oct 2022</t>
  </si>
  <si>
    <t>Jan 2023</t>
  </si>
  <si>
    <t>22.4</t>
  </si>
  <si>
    <t>4.9</t>
  </si>
  <si>
    <t>April 2023</t>
  </si>
  <si>
    <t>22.1</t>
  </si>
  <si>
    <t>Oct 2023</t>
  </si>
  <si>
    <t>21.8</t>
  </si>
  <si>
    <t>changes_black</t>
  </si>
  <si>
    <t>changes_black %</t>
  </si>
  <si>
    <t>changes_nonblack</t>
  </si>
  <si>
    <t>changes_nonblack %</t>
  </si>
  <si>
    <t>nonblack</t>
  </si>
  <si>
    <t xml:space="preserve">Compare prison populations between starting point, low point and most recent </t>
  </si>
  <si>
    <t>date</t>
  </si>
  <si>
    <t>pop</t>
  </si>
  <si>
    <t>race</t>
  </si>
  <si>
    <t>change</t>
  </si>
  <si>
    <t>Oct 2017</t>
  </si>
  <si>
    <t>black</t>
  </si>
  <si>
    <t>white + latinx %</t>
  </si>
  <si>
    <t>non-black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</si>
</sst>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0" fillId="2" borderId="0" xfId="0" applyFill="1"/>
    <xf numFmtId="49" fontId="3" fillId="2" borderId="0" xfId="0" applyNumberFormat="1" applyFont="1" applyFill="1"/>
    <xf numFmtId="2" fontId="0" fillId="2" borderId="0" xfId="0" applyNumberFormat="1" applyFill="1"/>
    <xf numFmtId="172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BE22-718B-8F4D-A64B-472CD25934AA}">
  <dimension ref="A1:AF48"/>
  <sheetViews>
    <sheetView tabSelected="1" zoomScale="83" zoomScaleNormal="100" workbookViewId="0">
      <selection activeCell="K13" sqref="K13"/>
    </sheetView>
  </sheetViews>
  <sheetFormatPr baseColWidth="10" defaultRowHeight="16" x14ac:dyDescent="0.2"/>
  <cols>
    <col min="2" max="2" width="10.83203125" style="3"/>
    <col min="9" max="9" width="12.1640625" style="3" bestFit="1" customWidth="1"/>
    <col min="10" max="10" width="12.1640625" customWidth="1"/>
    <col min="11" max="11" width="12.1640625" style="3" customWidth="1"/>
    <col min="12" max="12" width="14.1640625" style="11" bestFit="1" customWidth="1"/>
    <col min="21" max="21" width="12.6640625" bestFit="1" customWidth="1"/>
    <col min="24" max="24" width="13.6640625" customWidth="1"/>
    <col min="25" max="25" width="15.33203125" bestFit="1" customWidth="1"/>
    <col min="26" max="26" width="24.5" hidden="1" customWidth="1"/>
    <col min="27" max="27" width="8.6640625" bestFit="1" customWidth="1"/>
    <col min="28" max="28" width="16.6640625" bestFit="1" customWidth="1"/>
    <col min="29" max="29" width="13.83203125" customWidth="1"/>
  </cols>
  <sheetData>
    <row r="1" spans="1:32" s="1" customFormat="1" x14ac:dyDescent="0.2">
      <c r="A1" s="1" t="s">
        <v>1</v>
      </c>
      <c r="B1" s="2" t="s">
        <v>30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48</v>
      </c>
      <c r="K1" s="2" t="s">
        <v>49</v>
      </c>
      <c r="L1" s="10" t="s">
        <v>83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U1" s="1" t="s">
        <v>20</v>
      </c>
      <c r="V1" s="1" t="s">
        <v>21</v>
      </c>
      <c r="X1" s="1" t="s">
        <v>71</v>
      </c>
      <c r="Y1" s="1" t="s">
        <v>72</v>
      </c>
      <c r="AA1" s="1" t="s">
        <v>75</v>
      </c>
      <c r="AB1" s="1" t="s">
        <v>73</v>
      </c>
      <c r="AC1" s="1" t="s">
        <v>74</v>
      </c>
      <c r="AF1" s="1" t="s">
        <v>75</v>
      </c>
    </row>
    <row r="2" spans="1:32" x14ac:dyDescent="0.2">
      <c r="A2">
        <v>2018</v>
      </c>
      <c r="B2" s="3" t="s">
        <v>32</v>
      </c>
      <c r="C2">
        <v>1</v>
      </c>
      <c r="D2">
        <v>18295</v>
      </c>
      <c r="E2">
        <v>825</v>
      </c>
      <c r="F2">
        <v>13391</v>
      </c>
      <c r="G2" s="9">
        <f>F2/S2*100</f>
        <v>70.036610878661094</v>
      </c>
      <c r="H2">
        <v>5434</v>
      </c>
      <c r="I2" s="3" t="s">
        <v>18</v>
      </c>
      <c r="L2" s="9">
        <f>((H2+J2)/S2*100)</f>
        <v>28.42050209205021</v>
      </c>
      <c r="M2">
        <v>63</v>
      </c>
      <c r="N2" t="s">
        <v>15</v>
      </c>
      <c r="O2">
        <v>69</v>
      </c>
      <c r="P2" t="s">
        <v>16</v>
      </c>
      <c r="Q2">
        <v>163</v>
      </c>
      <c r="R2" t="s">
        <v>17</v>
      </c>
      <c r="S2">
        <v>19120</v>
      </c>
      <c r="U2">
        <f>SUM(Q2,O2,M2,H2,F2)</f>
        <v>19120</v>
      </c>
      <c r="V2">
        <f>D2+E2</f>
        <v>19120</v>
      </c>
      <c r="AA2">
        <f>SUM(H2,M2,O2,Q2)</f>
        <v>5729</v>
      </c>
      <c r="AF2">
        <v>5729</v>
      </c>
    </row>
    <row r="3" spans="1:32" x14ac:dyDescent="0.2">
      <c r="A3">
        <v>2018</v>
      </c>
      <c r="B3" s="3" t="s">
        <v>33</v>
      </c>
      <c r="C3">
        <v>2</v>
      </c>
      <c r="D3">
        <v>18009</v>
      </c>
      <c r="E3">
        <v>796</v>
      </c>
      <c r="F3">
        <v>13223</v>
      </c>
      <c r="G3" s="9">
        <f>F3/S3*100</f>
        <v>70.316405211379944</v>
      </c>
      <c r="H3">
        <v>5293</v>
      </c>
      <c r="I3" s="3" t="s">
        <v>19</v>
      </c>
      <c r="L3" s="9">
        <f t="shared" ref="L3:L25" si="0">((H3+J3)/S3*100)</f>
        <v>28.146769476203136</v>
      </c>
      <c r="M3">
        <v>55</v>
      </c>
      <c r="N3" t="s">
        <v>15</v>
      </c>
      <c r="O3">
        <v>70</v>
      </c>
      <c r="P3" t="s">
        <v>16</v>
      </c>
      <c r="Q3">
        <v>164</v>
      </c>
      <c r="R3" t="s">
        <v>17</v>
      </c>
      <c r="S3">
        <v>18805</v>
      </c>
      <c r="U3">
        <f>SUM(Q3,O3,M3,H3,F3)</f>
        <v>18805</v>
      </c>
      <c r="V3">
        <f>D3+E3</f>
        <v>18805</v>
      </c>
      <c r="X3">
        <f>F3-F2</f>
        <v>-168</v>
      </c>
      <c r="Y3" s="4">
        <f>X3/F2*100</f>
        <v>-1.2545739675901726</v>
      </c>
      <c r="Z3" s="4"/>
      <c r="AA3" s="4">
        <f t="shared" ref="AA3:AA15" si="1">SUM(H3,M3,O3,Q3)</f>
        <v>5582</v>
      </c>
      <c r="AB3" s="4">
        <f>AA3-AA2</f>
        <v>-147</v>
      </c>
      <c r="AC3" s="4">
        <f>AB3/AA2*100</f>
        <v>-2.5658928259731191</v>
      </c>
      <c r="AF3">
        <v>5582</v>
      </c>
    </row>
    <row r="4" spans="1:32" x14ac:dyDescent="0.2">
      <c r="A4">
        <v>2018</v>
      </c>
      <c r="B4" s="3" t="s">
        <v>43</v>
      </c>
      <c r="C4">
        <v>3</v>
      </c>
      <c r="D4">
        <v>17807</v>
      </c>
      <c r="E4">
        <v>807</v>
      </c>
      <c r="F4">
        <v>13126</v>
      </c>
      <c r="G4" s="9">
        <f>F4/S4*100</f>
        <v>70.516815300311592</v>
      </c>
      <c r="H4">
        <v>5205</v>
      </c>
      <c r="I4">
        <v>28</v>
      </c>
      <c r="K4"/>
      <c r="L4" s="9">
        <f t="shared" si="0"/>
        <v>27.962823681100247</v>
      </c>
      <c r="M4">
        <v>55</v>
      </c>
      <c r="N4" t="s">
        <v>15</v>
      </c>
      <c r="O4">
        <v>69</v>
      </c>
      <c r="P4" t="s">
        <v>16</v>
      </c>
      <c r="Q4">
        <v>159</v>
      </c>
      <c r="R4" t="s">
        <v>17</v>
      </c>
      <c r="S4">
        <v>18614</v>
      </c>
      <c r="U4">
        <f>SUM(Q4,O4,M4,H4,F4)</f>
        <v>18614</v>
      </c>
      <c r="V4">
        <f>D4+E4</f>
        <v>18614</v>
      </c>
      <c r="X4">
        <f>F4-F3</f>
        <v>-97</v>
      </c>
      <c r="Y4" s="4">
        <f>X4/F3*100</f>
        <v>-0.73357029418437569</v>
      </c>
      <c r="Z4" s="4"/>
      <c r="AA4" s="4">
        <f t="shared" si="1"/>
        <v>5488</v>
      </c>
      <c r="AB4" s="4">
        <f t="shared" ref="AB4:AB25" si="2">AA4-AA3</f>
        <v>-94</v>
      </c>
      <c r="AC4" s="4">
        <f t="shared" ref="AC4:AC25" si="3">AB4/AA3*100</f>
        <v>-1.683984235041204</v>
      </c>
      <c r="AF4">
        <v>5488</v>
      </c>
    </row>
    <row r="5" spans="1:32" x14ac:dyDescent="0.2">
      <c r="A5">
        <v>2018</v>
      </c>
      <c r="B5" s="3" t="s">
        <v>34</v>
      </c>
      <c r="C5">
        <v>4</v>
      </c>
      <c r="D5">
        <v>17803</v>
      </c>
      <c r="E5">
        <v>831</v>
      </c>
      <c r="F5">
        <v>13198</v>
      </c>
      <c r="G5" s="9">
        <f>F5/S5*100</f>
        <v>70.823718808693314</v>
      </c>
      <c r="H5">
        <v>5174</v>
      </c>
      <c r="I5" s="3" t="s">
        <v>22</v>
      </c>
      <c r="L5" s="9">
        <f t="shared" si="0"/>
        <v>27.764958411591088</v>
      </c>
      <c r="M5">
        <v>47</v>
      </c>
      <c r="N5" t="s">
        <v>15</v>
      </c>
      <c r="O5">
        <v>67</v>
      </c>
      <c r="P5" t="s">
        <v>16</v>
      </c>
      <c r="Q5">
        <v>149</v>
      </c>
      <c r="R5" t="s">
        <v>23</v>
      </c>
      <c r="S5">
        <v>18635</v>
      </c>
      <c r="U5">
        <f>SUM(Q5,O5,M5,H5,F5)</f>
        <v>18635</v>
      </c>
      <c r="V5">
        <f>D5+E5</f>
        <v>18634</v>
      </c>
      <c r="X5">
        <f>F5-F4</f>
        <v>72</v>
      </c>
      <c r="Y5" s="4">
        <f>X5/F4*100</f>
        <v>0.54852963583726955</v>
      </c>
      <c r="Z5" s="4"/>
      <c r="AA5" s="4">
        <f t="shared" si="1"/>
        <v>5437</v>
      </c>
      <c r="AB5" s="4">
        <f t="shared" si="2"/>
        <v>-51</v>
      </c>
      <c r="AC5" s="4">
        <f t="shared" si="3"/>
        <v>-0.92930029154518945</v>
      </c>
      <c r="AF5">
        <v>5437</v>
      </c>
    </row>
    <row r="6" spans="1:32" x14ac:dyDescent="0.2">
      <c r="A6">
        <v>2019</v>
      </c>
      <c r="B6" s="3" t="s">
        <v>31</v>
      </c>
      <c r="C6">
        <v>1</v>
      </c>
      <c r="D6">
        <v>17701</v>
      </c>
      <c r="E6">
        <v>842</v>
      </c>
      <c r="F6">
        <v>13177</v>
      </c>
      <c r="G6" s="9">
        <f>F6/S6*100</f>
        <v>71.061856226069125</v>
      </c>
      <c r="H6">
        <v>5099</v>
      </c>
      <c r="I6" s="3" t="s">
        <v>24</v>
      </c>
      <c r="L6" s="9">
        <f t="shared" si="0"/>
        <v>27.498247317046864</v>
      </c>
      <c r="M6">
        <v>49</v>
      </c>
      <c r="N6" t="s">
        <v>15</v>
      </c>
      <c r="O6">
        <v>64</v>
      </c>
      <c r="P6" t="s">
        <v>15</v>
      </c>
      <c r="Q6">
        <v>154</v>
      </c>
      <c r="R6" t="s">
        <v>23</v>
      </c>
      <c r="S6">
        <v>18543</v>
      </c>
      <c r="U6">
        <f>SUM(Q6,O6,M6,H6,F6)</f>
        <v>18543</v>
      </c>
      <c r="V6">
        <f>D6+E6</f>
        <v>18543</v>
      </c>
      <c r="X6">
        <f>F6-F5</f>
        <v>-21</v>
      </c>
      <c r="Y6" s="4">
        <f>X6/F5*100</f>
        <v>-0.15911501742688286</v>
      </c>
      <c r="Z6" s="4"/>
      <c r="AA6" s="4">
        <f t="shared" si="1"/>
        <v>5366</v>
      </c>
      <c r="AB6" s="4">
        <f t="shared" si="2"/>
        <v>-71</v>
      </c>
      <c r="AC6" s="4">
        <f t="shared" si="3"/>
        <v>-1.3058672061798786</v>
      </c>
      <c r="AF6">
        <v>5366</v>
      </c>
    </row>
    <row r="7" spans="1:32" x14ac:dyDescent="0.2">
      <c r="A7">
        <v>2019</v>
      </c>
      <c r="B7" s="3" t="s">
        <v>35</v>
      </c>
      <c r="C7">
        <v>2</v>
      </c>
      <c r="D7">
        <v>17617</v>
      </c>
      <c r="E7">
        <v>810</v>
      </c>
      <c r="F7">
        <v>13085</v>
      </c>
      <c r="G7" s="9">
        <f>F7/S7*100</f>
        <v>71.009931079394363</v>
      </c>
      <c r="H7">
        <v>5061</v>
      </c>
      <c r="I7" s="3" t="s">
        <v>24</v>
      </c>
      <c r="L7" s="9">
        <f t="shared" si="0"/>
        <v>27.46513268573289</v>
      </c>
      <c r="M7">
        <v>49</v>
      </c>
      <c r="N7" t="s">
        <v>15</v>
      </c>
      <c r="O7">
        <v>66</v>
      </c>
      <c r="P7" t="s">
        <v>16</v>
      </c>
      <c r="Q7">
        <v>166</v>
      </c>
      <c r="R7" t="s">
        <v>17</v>
      </c>
      <c r="S7">
        <v>18427</v>
      </c>
      <c r="U7">
        <f>SUM(Q7,O7,M7,H7,F7)</f>
        <v>18427</v>
      </c>
      <c r="V7">
        <f>D7+E7</f>
        <v>18427</v>
      </c>
      <c r="X7">
        <f>F7-F6</f>
        <v>-92</v>
      </c>
      <c r="Y7" s="4">
        <f>X7/F6*100</f>
        <v>-0.69818623358882903</v>
      </c>
      <c r="Z7" s="4"/>
      <c r="AA7" s="4">
        <f t="shared" si="1"/>
        <v>5342</v>
      </c>
      <c r="AB7" s="4">
        <f t="shared" si="2"/>
        <v>-24</v>
      </c>
      <c r="AC7" s="4">
        <f t="shared" si="3"/>
        <v>-0.44726052925829296</v>
      </c>
      <c r="AF7">
        <v>5342</v>
      </c>
    </row>
    <row r="8" spans="1:32" x14ac:dyDescent="0.2">
      <c r="A8">
        <v>2019</v>
      </c>
      <c r="B8" s="3" t="s">
        <v>44</v>
      </c>
      <c r="C8">
        <v>3</v>
      </c>
      <c r="D8">
        <v>17546</v>
      </c>
      <c r="E8">
        <v>798</v>
      </c>
      <c r="F8">
        <v>13051</v>
      </c>
      <c r="G8" s="9">
        <f>F8/S8*100</f>
        <v>71.145878761447889</v>
      </c>
      <c r="H8">
        <v>5010</v>
      </c>
      <c r="I8" s="3" t="s">
        <v>25</v>
      </c>
      <c r="L8" s="9">
        <f t="shared" si="0"/>
        <v>27.311382468382035</v>
      </c>
      <c r="M8">
        <v>47</v>
      </c>
      <c r="N8" t="s">
        <v>15</v>
      </c>
      <c r="O8">
        <v>67</v>
      </c>
      <c r="P8" t="s">
        <v>16</v>
      </c>
      <c r="Q8">
        <v>169</v>
      </c>
      <c r="R8" t="s">
        <v>17</v>
      </c>
      <c r="S8">
        <v>18344</v>
      </c>
      <c r="U8">
        <f>SUM(Q8,O8,M8,H8,F8)</f>
        <v>18344</v>
      </c>
      <c r="V8">
        <f>D8+E8</f>
        <v>18344</v>
      </c>
      <c r="X8">
        <f>F8-F7</f>
        <v>-34</v>
      </c>
      <c r="Y8" s="4">
        <f>X8/F7*100</f>
        <v>-0.25983951089033247</v>
      </c>
      <c r="Z8" s="4"/>
      <c r="AA8" s="4">
        <f t="shared" si="1"/>
        <v>5293</v>
      </c>
      <c r="AB8" s="4">
        <f t="shared" si="2"/>
        <v>-49</v>
      </c>
      <c r="AC8" s="4">
        <f t="shared" si="3"/>
        <v>-0.91725945338824411</v>
      </c>
      <c r="AF8">
        <v>5293</v>
      </c>
    </row>
    <row r="9" spans="1:32" x14ac:dyDescent="0.2">
      <c r="A9">
        <v>2019</v>
      </c>
      <c r="B9" s="3" t="s">
        <v>36</v>
      </c>
      <c r="C9">
        <v>4</v>
      </c>
      <c r="D9">
        <v>17478</v>
      </c>
      <c r="E9">
        <v>766</v>
      </c>
      <c r="F9">
        <v>13035</v>
      </c>
      <c r="G9" s="9">
        <f>F9/S9*100</f>
        <v>71.448147336110495</v>
      </c>
      <c r="H9">
        <v>4931</v>
      </c>
      <c r="I9">
        <v>27</v>
      </c>
      <c r="K9"/>
      <c r="L9" s="9">
        <f t="shared" si="0"/>
        <v>27.028064021048014</v>
      </c>
      <c r="M9">
        <v>48</v>
      </c>
      <c r="N9" t="s">
        <v>15</v>
      </c>
      <c r="O9">
        <v>67</v>
      </c>
      <c r="P9" t="s">
        <v>16</v>
      </c>
      <c r="Q9">
        <v>163</v>
      </c>
      <c r="R9" t="s">
        <v>17</v>
      </c>
      <c r="S9">
        <v>18244</v>
      </c>
      <c r="U9">
        <f>SUM(Q9,O9,M9,H9,F9)</f>
        <v>18244</v>
      </c>
      <c r="V9">
        <f>D9+E9</f>
        <v>18244</v>
      </c>
      <c r="X9">
        <f>F9-F8</f>
        <v>-16</v>
      </c>
      <c r="Y9" s="4">
        <f>X9/F8*100</f>
        <v>-0.1225959696574975</v>
      </c>
      <c r="Z9" s="4"/>
      <c r="AA9" s="4">
        <f t="shared" si="1"/>
        <v>5209</v>
      </c>
      <c r="AB9" s="4">
        <f t="shared" si="2"/>
        <v>-84</v>
      </c>
      <c r="AC9" s="4">
        <f t="shared" si="3"/>
        <v>-1.5870017003589647</v>
      </c>
      <c r="AF9">
        <v>5209</v>
      </c>
    </row>
    <row r="10" spans="1:32" x14ac:dyDescent="0.2">
      <c r="A10">
        <v>2020</v>
      </c>
      <c r="B10" s="3" t="s">
        <v>37</v>
      </c>
      <c r="C10">
        <v>1</v>
      </c>
      <c r="D10">
        <v>17443</v>
      </c>
      <c r="E10">
        <v>759</v>
      </c>
      <c r="F10">
        <v>13056</v>
      </c>
      <c r="G10" s="9">
        <f>F10/S10*100</f>
        <v>71.728381496538844</v>
      </c>
      <c r="H10">
        <v>4870</v>
      </c>
      <c r="I10" s="3" t="s">
        <v>26</v>
      </c>
      <c r="L10" s="9">
        <f t="shared" si="0"/>
        <v>26.755301615207124</v>
      </c>
      <c r="M10">
        <v>50</v>
      </c>
      <c r="N10" t="s">
        <v>15</v>
      </c>
      <c r="O10">
        <v>66</v>
      </c>
      <c r="P10" t="s">
        <v>16</v>
      </c>
      <c r="Q10">
        <v>160</v>
      </c>
      <c r="R10" t="s">
        <v>17</v>
      </c>
      <c r="S10">
        <v>18202</v>
      </c>
      <c r="U10">
        <f>SUM(Q10,O10,M10,H10,F10)</f>
        <v>18202</v>
      </c>
      <c r="V10">
        <f>D10+E10</f>
        <v>18202</v>
      </c>
      <c r="X10">
        <f>F10-F9</f>
        <v>21</v>
      </c>
      <c r="Y10" s="4">
        <f>X10/F9*100</f>
        <v>0.1611047180667434</v>
      </c>
      <c r="Z10" s="4"/>
      <c r="AA10" s="4">
        <f t="shared" si="1"/>
        <v>5146</v>
      </c>
      <c r="AB10" s="4">
        <f t="shared" si="2"/>
        <v>-63</v>
      </c>
      <c r="AC10" s="4">
        <f t="shared" si="3"/>
        <v>-1.2094451910155501</v>
      </c>
      <c r="AF10">
        <v>5146</v>
      </c>
    </row>
    <row r="11" spans="1:32" x14ac:dyDescent="0.2">
      <c r="A11">
        <v>2020</v>
      </c>
      <c r="B11" s="3" t="s">
        <v>38</v>
      </c>
      <c r="C11">
        <v>2</v>
      </c>
      <c r="D11">
        <v>17369</v>
      </c>
      <c r="E11">
        <v>719</v>
      </c>
      <c r="F11">
        <v>13009</v>
      </c>
      <c r="G11" s="9">
        <f>F11/S11*100</f>
        <v>71.920610349402921</v>
      </c>
      <c r="H11">
        <v>4798</v>
      </c>
      <c r="I11" s="3" t="s">
        <v>28</v>
      </c>
      <c r="L11" s="9">
        <f t="shared" si="0"/>
        <v>26.525873507297653</v>
      </c>
      <c r="M11">
        <v>49</v>
      </c>
      <c r="N11" t="s">
        <v>15</v>
      </c>
      <c r="O11">
        <v>72</v>
      </c>
      <c r="P11" t="s">
        <v>16</v>
      </c>
      <c r="Q11">
        <v>160</v>
      </c>
      <c r="R11" t="s">
        <v>17</v>
      </c>
      <c r="S11">
        <v>18088</v>
      </c>
      <c r="U11" s="3">
        <f>SUM(Q11,O11,M11,H11,F11)</f>
        <v>18088</v>
      </c>
      <c r="V11">
        <f>D11+E11</f>
        <v>18088</v>
      </c>
      <c r="X11">
        <f>F11-F10</f>
        <v>-47</v>
      </c>
      <c r="Y11" s="4">
        <f>X11/F10*100</f>
        <v>-0.35998774509803921</v>
      </c>
      <c r="Z11" s="4"/>
      <c r="AA11" s="4">
        <f t="shared" si="1"/>
        <v>5079</v>
      </c>
      <c r="AB11" s="4">
        <f t="shared" si="2"/>
        <v>-67</v>
      </c>
      <c r="AC11" s="4">
        <f t="shared" si="3"/>
        <v>-1.3019821220365333</v>
      </c>
      <c r="AF11">
        <v>5079</v>
      </c>
    </row>
    <row r="12" spans="1:32" x14ac:dyDescent="0.2">
      <c r="A12">
        <v>2020</v>
      </c>
      <c r="B12" s="3" t="s">
        <v>45</v>
      </c>
      <c r="C12">
        <v>3</v>
      </c>
      <c r="D12">
        <v>17200</v>
      </c>
      <c r="E12">
        <v>683</v>
      </c>
      <c r="F12">
        <v>12883</v>
      </c>
      <c r="G12" s="9">
        <f>F12/S12*100</f>
        <v>72.040485377173852</v>
      </c>
      <c r="H12">
        <v>4715</v>
      </c>
      <c r="I12" s="3" t="s">
        <v>27</v>
      </c>
      <c r="L12" s="9">
        <f t="shared" si="0"/>
        <v>26.36582228932506</v>
      </c>
      <c r="M12">
        <v>47</v>
      </c>
      <c r="N12" t="s">
        <v>15</v>
      </c>
      <c r="O12">
        <v>72</v>
      </c>
      <c r="P12" t="s">
        <v>16</v>
      </c>
      <c r="Q12">
        <v>166</v>
      </c>
      <c r="R12" t="s">
        <v>17</v>
      </c>
      <c r="S12">
        <v>17883</v>
      </c>
      <c r="U12">
        <f>SUM(Q12,O12,M12,H12,F12)</f>
        <v>17883</v>
      </c>
      <c r="V12">
        <f>D12+E12</f>
        <v>17883</v>
      </c>
      <c r="X12">
        <f>F12-F11</f>
        <v>-126</v>
      </c>
      <c r="Y12" s="4">
        <f>X12/F11*100</f>
        <v>-0.96856022753478366</v>
      </c>
      <c r="Z12" s="4"/>
      <c r="AA12" s="4">
        <f t="shared" si="1"/>
        <v>5000</v>
      </c>
      <c r="AB12" s="4">
        <f t="shared" si="2"/>
        <v>-79</v>
      </c>
      <c r="AC12" s="4">
        <f t="shared" si="3"/>
        <v>-1.5554242961212839</v>
      </c>
      <c r="AF12">
        <v>5000</v>
      </c>
    </row>
    <row r="13" spans="1:32" x14ac:dyDescent="0.2">
      <c r="A13">
        <v>2020</v>
      </c>
      <c r="B13" s="3" t="s">
        <v>40</v>
      </c>
      <c r="C13">
        <v>4</v>
      </c>
      <c r="D13">
        <v>16058</v>
      </c>
      <c r="E13">
        <v>594</v>
      </c>
      <c r="F13">
        <v>12027</v>
      </c>
      <c r="G13" s="9">
        <f>F13/S13*100</f>
        <v>72.225558491472498</v>
      </c>
      <c r="H13">
        <v>4364</v>
      </c>
      <c r="I13" s="3" t="s">
        <v>29</v>
      </c>
      <c r="L13" s="9">
        <f t="shared" si="0"/>
        <v>26.207062214748976</v>
      </c>
      <c r="M13">
        <v>44</v>
      </c>
      <c r="N13" t="s">
        <v>15</v>
      </c>
      <c r="O13">
        <v>67</v>
      </c>
      <c r="P13" t="s">
        <v>16</v>
      </c>
      <c r="Q13">
        <v>150</v>
      </c>
      <c r="R13" t="s">
        <v>17</v>
      </c>
      <c r="S13">
        <v>16652</v>
      </c>
      <c r="U13">
        <f>SUM(Q13,O13,M13,H13,F13)</f>
        <v>16652</v>
      </c>
      <c r="V13">
        <f>D13+E13</f>
        <v>16652</v>
      </c>
      <c r="X13">
        <f>F13-F12</f>
        <v>-856</v>
      </c>
      <c r="Y13" s="4">
        <f>X13/F12*100</f>
        <v>-6.6444151207016997</v>
      </c>
      <c r="Z13" s="4"/>
      <c r="AA13" s="4">
        <f t="shared" si="1"/>
        <v>4625</v>
      </c>
      <c r="AB13" s="4">
        <f t="shared" si="2"/>
        <v>-375</v>
      </c>
      <c r="AC13" s="4">
        <f t="shared" si="3"/>
        <v>-7.5</v>
      </c>
      <c r="AF13">
        <v>4625</v>
      </c>
    </row>
    <row r="14" spans="1:32" x14ac:dyDescent="0.2">
      <c r="A14">
        <v>2021</v>
      </c>
      <c r="B14" s="3" t="s">
        <v>41</v>
      </c>
      <c r="C14">
        <v>1</v>
      </c>
      <c r="D14">
        <v>15433</v>
      </c>
      <c r="E14">
        <v>554</v>
      </c>
      <c r="F14">
        <v>11537</v>
      </c>
      <c r="G14" s="9">
        <f>F14/S14*100</f>
        <v>72.164883968224174</v>
      </c>
      <c r="H14">
        <v>4195</v>
      </c>
      <c r="I14" s="3" t="s">
        <v>29</v>
      </c>
      <c r="L14" s="9">
        <f t="shared" si="0"/>
        <v>26.240070056921251</v>
      </c>
      <c r="M14">
        <v>41</v>
      </c>
      <c r="N14" t="s">
        <v>15</v>
      </c>
      <c r="O14">
        <v>61</v>
      </c>
      <c r="P14" t="s">
        <v>16</v>
      </c>
      <c r="Q14">
        <v>153</v>
      </c>
      <c r="R14">
        <v>1</v>
      </c>
      <c r="S14">
        <v>15987</v>
      </c>
      <c r="U14">
        <f>SUM(Q14,O14,M14,H14,F14)</f>
        <v>15987</v>
      </c>
      <c r="V14">
        <f>D14+E14</f>
        <v>15987</v>
      </c>
      <c r="X14">
        <f>F14-F13</f>
        <v>-490</v>
      </c>
      <c r="Y14" s="4">
        <f>X14/F13*100</f>
        <v>-4.0741664588010309</v>
      </c>
      <c r="Z14" s="4"/>
      <c r="AA14" s="4">
        <f t="shared" si="1"/>
        <v>4450</v>
      </c>
      <c r="AB14" s="4">
        <f t="shared" si="2"/>
        <v>-175</v>
      </c>
      <c r="AC14" s="4">
        <f t="shared" si="3"/>
        <v>-3.7837837837837842</v>
      </c>
      <c r="AF14">
        <v>4450</v>
      </c>
    </row>
    <row r="15" spans="1:32" x14ac:dyDescent="0.2">
      <c r="A15">
        <v>2021</v>
      </c>
      <c r="B15" s="3" t="s">
        <v>39</v>
      </c>
      <c r="C15">
        <v>2</v>
      </c>
      <c r="D15">
        <v>14858</v>
      </c>
      <c r="E15">
        <v>520</v>
      </c>
      <c r="F15">
        <v>11090</v>
      </c>
      <c r="G15" s="9">
        <f>F15/S15*100</f>
        <v>72.116009884250232</v>
      </c>
      <c r="H15">
        <v>4031</v>
      </c>
      <c r="I15" s="3" t="s">
        <v>29</v>
      </c>
      <c r="L15" s="9">
        <f t="shared" si="0"/>
        <v>26.212771491741449</v>
      </c>
      <c r="M15">
        <v>40</v>
      </c>
      <c r="N15" t="s">
        <v>15</v>
      </c>
      <c r="O15">
        <v>61</v>
      </c>
      <c r="P15" t="s">
        <v>16</v>
      </c>
      <c r="Q15">
        <v>156</v>
      </c>
      <c r="R15" t="s">
        <v>42</v>
      </c>
      <c r="S15">
        <v>15378</v>
      </c>
      <c r="U15">
        <f>SUM(Q15,O15,M15,H15,F15)</f>
        <v>15378</v>
      </c>
      <c r="V15">
        <f>D15+E15</f>
        <v>15378</v>
      </c>
      <c r="X15">
        <f>F15-F14</f>
        <v>-447</v>
      </c>
      <c r="Y15" s="4">
        <f>X15/F14*100</f>
        <v>-3.8744907688307184</v>
      </c>
      <c r="Z15" s="4"/>
      <c r="AA15" s="4">
        <f t="shared" si="1"/>
        <v>4288</v>
      </c>
      <c r="AB15" s="4">
        <f t="shared" si="2"/>
        <v>-162</v>
      </c>
      <c r="AC15" s="4">
        <f t="shared" si="3"/>
        <v>-3.6404494382022472</v>
      </c>
      <c r="AF15">
        <v>4288</v>
      </c>
    </row>
    <row r="16" spans="1:32" x14ac:dyDescent="0.2">
      <c r="A16">
        <v>2021</v>
      </c>
      <c r="B16" s="3" t="s">
        <v>46</v>
      </c>
      <c r="C16">
        <v>3</v>
      </c>
      <c r="D16">
        <v>14333</v>
      </c>
      <c r="E16">
        <v>480</v>
      </c>
      <c r="F16">
        <v>10680</v>
      </c>
      <c r="G16" s="9">
        <f>F16/S16*100</f>
        <v>72.098832106933102</v>
      </c>
      <c r="H16">
        <v>3356</v>
      </c>
      <c r="I16" s="3" t="s">
        <v>47</v>
      </c>
      <c r="J16">
        <v>662</v>
      </c>
      <c r="K16" s="3" t="s">
        <v>50</v>
      </c>
      <c r="L16" s="9">
        <f t="shared" si="0"/>
        <v>27.124822790791868</v>
      </c>
      <c r="M16">
        <v>32</v>
      </c>
      <c r="N16" s="3" t="s">
        <v>51</v>
      </c>
      <c r="O16">
        <v>53</v>
      </c>
      <c r="P16" s="3" t="s">
        <v>16</v>
      </c>
      <c r="Q16">
        <v>30</v>
      </c>
      <c r="R16" t="s">
        <v>51</v>
      </c>
      <c r="S16">
        <v>14813</v>
      </c>
      <c r="U16">
        <f>SUM(Q16,O16,M16,H16,F16,J16)</f>
        <v>14813</v>
      </c>
      <c r="V16">
        <f>D16+E16</f>
        <v>14813</v>
      </c>
      <c r="X16">
        <f>F16-F15</f>
        <v>-410</v>
      </c>
      <c r="Y16" s="4">
        <f>X16/F15*100</f>
        <v>-3.6970243462578898</v>
      </c>
      <c r="Z16" s="4"/>
      <c r="AA16" s="4">
        <f>SUM(H16,J16,M16,O16,Q16)</f>
        <v>4133</v>
      </c>
      <c r="AB16" s="4">
        <f t="shared" si="2"/>
        <v>-155</v>
      </c>
      <c r="AC16" s="4">
        <f t="shared" si="3"/>
        <v>-3.6147388059701488</v>
      </c>
      <c r="AF16">
        <v>4133</v>
      </c>
    </row>
    <row r="17" spans="1:32" x14ac:dyDescent="0.2">
      <c r="A17">
        <v>2021</v>
      </c>
      <c r="B17" s="3" t="s">
        <v>52</v>
      </c>
      <c r="C17">
        <v>4</v>
      </c>
      <c r="D17">
        <v>13922</v>
      </c>
      <c r="E17">
        <v>468</v>
      </c>
      <c r="F17">
        <v>10358</v>
      </c>
      <c r="G17" s="9">
        <f>F17/S17*100</f>
        <v>71.980542043085478</v>
      </c>
      <c r="H17">
        <v>3243</v>
      </c>
      <c r="I17" s="3" t="s">
        <v>53</v>
      </c>
      <c r="J17">
        <v>675</v>
      </c>
      <c r="K17" s="3" t="s">
        <v>54</v>
      </c>
      <c r="L17" s="9">
        <f t="shared" si="0"/>
        <v>27.227241139680338</v>
      </c>
      <c r="M17">
        <v>33</v>
      </c>
      <c r="N17" t="s">
        <v>51</v>
      </c>
      <c r="O17">
        <v>50</v>
      </c>
      <c r="P17" t="s">
        <v>15</v>
      </c>
      <c r="Q17">
        <v>31</v>
      </c>
      <c r="R17" t="s">
        <v>51</v>
      </c>
      <c r="S17">
        <v>14390</v>
      </c>
      <c r="U17">
        <f>SUM(Q17,O17,M17,H17,F17,J17)</f>
        <v>14390</v>
      </c>
      <c r="V17">
        <f>D17+E17</f>
        <v>14390</v>
      </c>
      <c r="X17">
        <f>F17-F16</f>
        <v>-322</v>
      </c>
      <c r="Y17" s="4">
        <f>X17/F16*100</f>
        <v>-3.0149812734082397</v>
      </c>
      <c r="Z17" s="4"/>
      <c r="AA17" s="4">
        <f>SUM(H17,J17,M17,O17,Q17)</f>
        <v>4032</v>
      </c>
      <c r="AB17" s="4">
        <f t="shared" si="2"/>
        <v>-101</v>
      </c>
      <c r="AC17" s="4">
        <f t="shared" si="3"/>
        <v>-2.4437454633438183</v>
      </c>
      <c r="AF17">
        <v>4032</v>
      </c>
    </row>
    <row r="18" spans="1:32" x14ac:dyDescent="0.2">
      <c r="A18">
        <v>2022</v>
      </c>
      <c r="B18" s="3" t="s">
        <v>55</v>
      </c>
      <c r="C18">
        <v>1</v>
      </c>
      <c r="D18">
        <v>14176</v>
      </c>
      <c r="E18">
        <v>487</v>
      </c>
      <c r="F18">
        <v>10523</v>
      </c>
      <c r="G18" s="9">
        <f>F18/S18*100</f>
        <v>71.765668689899755</v>
      </c>
      <c r="H18">
        <v>3327</v>
      </c>
      <c r="I18" s="3" t="s">
        <v>56</v>
      </c>
      <c r="J18">
        <v>691</v>
      </c>
      <c r="K18" s="3" t="s">
        <v>54</v>
      </c>
      <c r="L18" s="9">
        <f t="shared" si="0"/>
        <v>27.402305121734976</v>
      </c>
      <c r="M18">
        <v>33</v>
      </c>
      <c r="N18" t="s">
        <v>51</v>
      </c>
      <c r="O18">
        <v>55</v>
      </c>
      <c r="P18" t="s">
        <v>16</v>
      </c>
      <c r="Q18">
        <v>34</v>
      </c>
      <c r="R18" t="s">
        <v>51</v>
      </c>
      <c r="S18">
        <v>14663</v>
      </c>
      <c r="U18">
        <f>SUM(Q18,O18,M18,H18,F18,J18)</f>
        <v>14663</v>
      </c>
      <c r="V18">
        <f>D18+E18</f>
        <v>14663</v>
      </c>
      <c r="X18">
        <f>F18-F17</f>
        <v>165</v>
      </c>
      <c r="Y18" s="4">
        <f>X18/F17*100</f>
        <v>1.5929716161421124</v>
      </c>
      <c r="Z18" s="4"/>
      <c r="AA18" s="4">
        <f>SUM(H18,J18,M18,O18,Q18)</f>
        <v>4140</v>
      </c>
      <c r="AB18" s="4">
        <f t="shared" si="2"/>
        <v>108</v>
      </c>
      <c r="AC18" s="4">
        <f t="shared" si="3"/>
        <v>2.6785714285714284</v>
      </c>
      <c r="AF18">
        <v>4140</v>
      </c>
    </row>
    <row r="19" spans="1:32" x14ac:dyDescent="0.2">
      <c r="A19">
        <v>2022</v>
      </c>
      <c r="B19" s="3" t="s">
        <v>57</v>
      </c>
      <c r="C19">
        <v>2</v>
      </c>
      <c r="D19">
        <v>14359</v>
      </c>
      <c r="E19">
        <v>505</v>
      </c>
      <c r="F19">
        <v>10664</v>
      </c>
      <c r="G19" s="9">
        <f>F19/S19*100</f>
        <v>71.743810548977393</v>
      </c>
      <c r="H19">
        <v>3378</v>
      </c>
      <c r="I19" s="3" t="s">
        <v>47</v>
      </c>
      <c r="J19">
        <v>698</v>
      </c>
      <c r="K19" s="3" t="s">
        <v>54</v>
      </c>
      <c r="L19" s="9">
        <f t="shared" si="0"/>
        <v>27.421959095801938</v>
      </c>
      <c r="M19">
        <v>35</v>
      </c>
      <c r="N19" t="s">
        <v>51</v>
      </c>
      <c r="O19">
        <v>55</v>
      </c>
      <c r="P19" t="s">
        <v>16</v>
      </c>
      <c r="Q19">
        <v>34</v>
      </c>
      <c r="R19" t="s">
        <v>51</v>
      </c>
      <c r="S19">
        <v>14864</v>
      </c>
      <c r="U19">
        <f>SUM(Q19,O19,M19,H19,F19,J19)</f>
        <v>14864</v>
      </c>
      <c r="V19">
        <f>D19+E19</f>
        <v>14864</v>
      </c>
      <c r="X19">
        <f>F19-F18</f>
        <v>141</v>
      </c>
      <c r="Y19" s="4">
        <f>X19/F18*100</f>
        <v>1.339922075453768</v>
      </c>
      <c r="Z19" s="4"/>
      <c r="AA19" s="4">
        <f>SUM(H19,J19,M19,O19,Q19)</f>
        <v>4200</v>
      </c>
      <c r="AB19" s="4">
        <f t="shared" si="2"/>
        <v>60</v>
      </c>
      <c r="AC19" s="4">
        <f t="shared" si="3"/>
        <v>1.4492753623188406</v>
      </c>
      <c r="AF19">
        <v>4200</v>
      </c>
    </row>
    <row r="20" spans="1:32" x14ac:dyDescent="0.2">
      <c r="A20">
        <v>2022</v>
      </c>
      <c r="B20" s="3" t="s">
        <v>58</v>
      </c>
      <c r="C20">
        <v>3</v>
      </c>
      <c r="D20">
        <v>14365</v>
      </c>
      <c r="E20">
        <v>502</v>
      </c>
      <c r="F20">
        <v>10646</v>
      </c>
      <c r="G20" s="9">
        <f>F20/S20*100</f>
        <v>71.608259904486445</v>
      </c>
      <c r="H20">
        <v>3409</v>
      </c>
      <c r="I20" s="3" t="s">
        <v>59</v>
      </c>
      <c r="J20">
        <v>691</v>
      </c>
      <c r="K20" s="3" t="s">
        <v>60</v>
      </c>
      <c r="L20" s="9">
        <f t="shared" si="0"/>
        <v>27.577856998722002</v>
      </c>
      <c r="M20">
        <v>31</v>
      </c>
      <c r="N20" t="s">
        <v>51</v>
      </c>
      <c r="O20">
        <v>58</v>
      </c>
      <c r="P20" t="s">
        <v>16</v>
      </c>
      <c r="Q20">
        <v>32</v>
      </c>
      <c r="R20" t="s">
        <v>51</v>
      </c>
      <c r="S20">
        <v>14867</v>
      </c>
      <c r="U20">
        <f>SUM(Q20,O20,M20,H20,F20,J20)</f>
        <v>14867</v>
      </c>
      <c r="V20">
        <f>D20+E20</f>
        <v>14867</v>
      </c>
      <c r="X20">
        <f>F20-F19</f>
        <v>-18</v>
      </c>
      <c r="Y20" s="4">
        <f>X20/F19*100</f>
        <v>-0.16879219804951237</v>
      </c>
      <c r="Z20" s="4"/>
      <c r="AA20" s="4">
        <f>SUM(H20,J20,M20,O20,Q20)</f>
        <v>4221</v>
      </c>
      <c r="AB20" s="4">
        <f t="shared" si="2"/>
        <v>21</v>
      </c>
      <c r="AC20" s="4">
        <f t="shared" si="3"/>
        <v>0.5</v>
      </c>
      <c r="AF20">
        <v>4221</v>
      </c>
    </row>
    <row r="21" spans="1:32" x14ac:dyDescent="0.2">
      <c r="A21">
        <v>2022</v>
      </c>
      <c r="B21" s="3" t="s">
        <v>61</v>
      </c>
      <c r="C21">
        <v>4</v>
      </c>
      <c r="D21">
        <v>14470</v>
      </c>
      <c r="E21">
        <v>513</v>
      </c>
      <c r="F21">
        <v>10719</v>
      </c>
      <c r="G21" s="9">
        <f>F21/S21*100</f>
        <v>71.541079890542619</v>
      </c>
      <c r="H21">
        <v>3433</v>
      </c>
      <c r="I21" s="3" t="s">
        <v>59</v>
      </c>
      <c r="J21">
        <v>712</v>
      </c>
      <c r="K21" s="3" t="s">
        <v>62</v>
      </c>
      <c r="L21" s="9">
        <f t="shared" si="0"/>
        <v>27.664686644864179</v>
      </c>
      <c r="M21">
        <v>33</v>
      </c>
      <c r="N21" t="s">
        <v>51</v>
      </c>
      <c r="O21">
        <v>54</v>
      </c>
      <c r="P21" t="s">
        <v>16</v>
      </c>
      <c r="Q21">
        <v>32</v>
      </c>
      <c r="R21" t="s">
        <v>51</v>
      </c>
      <c r="S21">
        <v>14983</v>
      </c>
      <c r="U21">
        <f>SUM(Q21,O21,M21,H21,F21,J21)</f>
        <v>14983</v>
      </c>
      <c r="V21">
        <f>D21+E21</f>
        <v>14983</v>
      </c>
      <c r="X21">
        <f>F21-F20</f>
        <v>73</v>
      </c>
      <c r="Y21" s="4">
        <f>X21/F20*100</f>
        <v>0.6857035506293444</v>
      </c>
      <c r="Z21" s="4"/>
      <c r="AA21" s="4">
        <f>SUM(H21,J21,M21,O21,Q21)</f>
        <v>4264</v>
      </c>
      <c r="AB21" s="4">
        <f t="shared" si="2"/>
        <v>43</v>
      </c>
      <c r="AC21" s="4">
        <f t="shared" si="3"/>
        <v>1.0187159440890783</v>
      </c>
      <c r="AF21">
        <v>4264</v>
      </c>
    </row>
    <row r="22" spans="1:32" x14ac:dyDescent="0.2">
      <c r="A22">
        <v>2023</v>
      </c>
      <c r="B22" s="3" t="s">
        <v>63</v>
      </c>
      <c r="C22">
        <v>1</v>
      </c>
      <c r="D22">
        <v>14658</v>
      </c>
      <c r="E22">
        <v>524</v>
      </c>
      <c r="F22">
        <v>10908</v>
      </c>
      <c r="G22" s="9">
        <f>F22/S22*100</f>
        <v>71.848241338427087</v>
      </c>
      <c r="H22">
        <v>3419</v>
      </c>
      <c r="I22" s="3" t="s">
        <v>53</v>
      </c>
      <c r="J22">
        <v>736</v>
      </c>
      <c r="K22" s="3" t="s">
        <v>62</v>
      </c>
      <c r="L22" s="9">
        <f t="shared" si="0"/>
        <v>27.36793571334475</v>
      </c>
      <c r="M22">
        <v>32</v>
      </c>
      <c r="N22" t="s">
        <v>51</v>
      </c>
      <c r="O22">
        <v>56</v>
      </c>
      <c r="P22" t="s">
        <v>16</v>
      </c>
      <c r="Q22">
        <v>21</v>
      </c>
      <c r="R22" t="s">
        <v>51</v>
      </c>
      <c r="S22">
        <v>15182</v>
      </c>
      <c r="U22">
        <f>SUM(Q22,O22,M22,H22,F22,J22)</f>
        <v>15172</v>
      </c>
      <c r="V22">
        <f>D22+E22</f>
        <v>15182</v>
      </c>
      <c r="X22">
        <f>F22-F21</f>
        <v>189</v>
      </c>
      <c r="Y22" s="4">
        <f>X22/F21*100</f>
        <v>1.7632241813602016</v>
      </c>
      <c r="Z22" s="4"/>
      <c r="AA22" s="4">
        <f>SUM(H22,J22,M22,O22,Q22)</f>
        <v>4264</v>
      </c>
      <c r="AB22" s="4">
        <f t="shared" si="2"/>
        <v>0</v>
      </c>
      <c r="AC22" s="4">
        <f t="shared" si="3"/>
        <v>0</v>
      </c>
      <c r="AF22">
        <v>4264</v>
      </c>
    </row>
    <row r="23" spans="1:32" x14ac:dyDescent="0.2">
      <c r="A23">
        <v>2023</v>
      </c>
      <c r="B23" s="3" t="s">
        <v>64</v>
      </c>
      <c r="C23">
        <v>2</v>
      </c>
      <c r="D23">
        <v>14796</v>
      </c>
      <c r="E23">
        <v>533</v>
      </c>
      <c r="F23">
        <v>11027</v>
      </c>
      <c r="G23" s="9">
        <f>F23/S23*100</f>
        <v>71.935547002413728</v>
      </c>
      <c r="H23">
        <v>3427</v>
      </c>
      <c r="I23" s="3" t="s">
        <v>65</v>
      </c>
      <c r="J23">
        <v>749</v>
      </c>
      <c r="K23" s="3" t="s">
        <v>66</v>
      </c>
      <c r="L23" s="9">
        <f t="shared" si="0"/>
        <v>27.242481570878731</v>
      </c>
      <c r="M23">
        <v>34</v>
      </c>
      <c r="N23" t="s">
        <v>51</v>
      </c>
      <c r="O23">
        <v>60</v>
      </c>
      <c r="P23" t="s">
        <v>16</v>
      </c>
      <c r="Q23">
        <v>32</v>
      </c>
      <c r="R23" t="s">
        <v>51</v>
      </c>
      <c r="S23">
        <v>15329</v>
      </c>
      <c r="U23">
        <f>SUM(Q23,O23,M23,H23,F23,J23)</f>
        <v>15329</v>
      </c>
      <c r="V23">
        <f>D23+E23</f>
        <v>15329</v>
      </c>
      <c r="X23">
        <f>F23-F22</f>
        <v>119</v>
      </c>
      <c r="Y23" s="4">
        <f>X23/F22*100</f>
        <v>1.0909424275760911</v>
      </c>
      <c r="Z23" s="4"/>
      <c r="AA23" s="4">
        <f>SUM(H23,J23,M23,O23,Q23)</f>
        <v>4302</v>
      </c>
      <c r="AB23" s="4">
        <f t="shared" si="2"/>
        <v>38</v>
      </c>
      <c r="AC23" s="4">
        <f t="shared" si="3"/>
        <v>0.89118198874296428</v>
      </c>
      <c r="AF23">
        <v>4302</v>
      </c>
    </row>
    <row r="24" spans="1:32" x14ac:dyDescent="0.2">
      <c r="A24">
        <v>2023</v>
      </c>
      <c r="B24" s="3" t="s">
        <v>67</v>
      </c>
      <c r="C24">
        <v>3</v>
      </c>
      <c r="D24">
        <v>14895</v>
      </c>
      <c r="E24">
        <v>562</v>
      </c>
      <c r="F24">
        <v>11158</v>
      </c>
      <c r="G24" s="9">
        <f>F24/S24*100</f>
        <v>72.187358478359315</v>
      </c>
      <c r="H24">
        <v>3414</v>
      </c>
      <c r="I24" s="3" t="s">
        <v>68</v>
      </c>
      <c r="J24">
        <v>757</v>
      </c>
      <c r="K24" s="3" t="s">
        <v>66</v>
      </c>
      <c r="L24" s="9">
        <f t="shared" si="0"/>
        <v>26.984537749886783</v>
      </c>
      <c r="M24">
        <v>30</v>
      </c>
      <c r="N24" t="s">
        <v>51</v>
      </c>
      <c r="O24">
        <v>64</v>
      </c>
      <c r="P24" t="s">
        <v>16</v>
      </c>
      <c r="Q24">
        <v>34</v>
      </c>
      <c r="R24" t="s">
        <v>51</v>
      </c>
      <c r="S24">
        <v>15457</v>
      </c>
      <c r="U24">
        <f>SUM(Q24,O24,M24,H24,F24,J24)</f>
        <v>15457</v>
      </c>
      <c r="V24">
        <f>D24+E24</f>
        <v>15457</v>
      </c>
      <c r="X24">
        <f>F24-F23</f>
        <v>131</v>
      </c>
      <c r="Y24" s="4">
        <f>X24/F23*100</f>
        <v>1.1879931078262447</v>
      </c>
      <c r="Z24" s="4"/>
      <c r="AA24" s="4">
        <f>SUM(H24,J24,M24,O24,Q24)</f>
        <v>4299</v>
      </c>
      <c r="AB24" s="4">
        <f t="shared" si="2"/>
        <v>-3</v>
      </c>
      <c r="AC24" s="4">
        <f t="shared" si="3"/>
        <v>-6.9735006973500699E-2</v>
      </c>
      <c r="AF24">
        <v>4299</v>
      </c>
    </row>
    <row r="25" spans="1:32" x14ac:dyDescent="0.2">
      <c r="A25">
        <v>2023</v>
      </c>
      <c r="B25" s="3" t="s">
        <v>69</v>
      </c>
      <c r="C25">
        <v>4</v>
      </c>
      <c r="D25">
        <v>15042</v>
      </c>
      <c r="E25">
        <v>589</v>
      </c>
      <c r="F25">
        <v>11317</v>
      </c>
      <c r="G25" s="9">
        <f>F25/S25*100</f>
        <v>72.400998016761562</v>
      </c>
      <c r="H25">
        <v>3411</v>
      </c>
      <c r="I25" s="3" t="s">
        <v>70</v>
      </c>
      <c r="J25">
        <v>773</v>
      </c>
      <c r="K25" s="3" t="s">
        <v>66</v>
      </c>
      <c r="L25" s="9">
        <f t="shared" si="0"/>
        <v>26.767321348602135</v>
      </c>
      <c r="M25">
        <v>28</v>
      </c>
      <c r="N25" t="s">
        <v>51</v>
      </c>
      <c r="O25">
        <v>69</v>
      </c>
      <c r="P25" t="s">
        <v>16</v>
      </c>
      <c r="Q25">
        <v>33</v>
      </c>
      <c r="R25" t="s">
        <v>51</v>
      </c>
      <c r="S25">
        <v>15631</v>
      </c>
      <c r="U25">
        <f>SUM(Q25,O25,M25,H25,F25,J25)</f>
        <v>15631</v>
      </c>
      <c r="V25">
        <f>D25+E25</f>
        <v>15631</v>
      </c>
      <c r="X25">
        <f>F25-F24</f>
        <v>159</v>
      </c>
      <c r="Y25" s="4">
        <f>X25/F24*100</f>
        <v>1.4249865567305968</v>
      </c>
      <c r="Z25" s="4"/>
      <c r="AA25" s="4">
        <f>SUM(H25,J25,M25,O25,Q25)</f>
        <v>4314</v>
      </c>
      <c r="AB25" s="4">
        <f t="shared" si="2"/>
        <v>15</v>
      </c>
      <c r="AC25" s="4">
        <f t="shared" si="3"/>
        <v>0.34891835310537334</v>
      </c>
      <c r="AF25">
        <v>4314</v>
      </c>
    </row>
    <row r="27" spans="1:32" x14ac:dyDescent="0.2">
      <c r="X27" s="4">
        <f>SUM(X3:X25)</f>
        <v>-2074</v>
      </c>
      <c r="Y27" s="4"/>
      <c r="AB27" s="4">
        <f>SUM(AB3:AB25)</f>
        <v>-1415</v>
      </c>
      <c r="AC27" s="4"/>
    </row>
    <row r="29" spans="1:32" x14ac:dyDescent="0.2">
      <c r="Y29" s="1" t="s">
        <v>76</v>
      </c>
    </row>
    <row r="30" spans="1:32" x14ac:dyDescent="0.2">
      <c r="R30" s="5" t="s">
        <v>77</v>
      </c>
      <c r="S30" s="5" t="s">
        <v>78</v>
      </c>
      <c r="T30" s="5"/>
      <c r="U30" s="5" t="s">
        <v>79</v>
      </c>
      <c r="V30" s="5" t="s">
        <v>80</v>
      </c>
    </row>
    <row r="31" spans="1:32" x14ac:dyDescent="0.2">
      <c r="R31" s="6" t="s">
        <v>38</v>
      </c>
      <c r="S31" s="6">
        <v>13009</v>
      </c>
      <c r="T31" s="6"/>
      <c r="U31" s="6" t="s">
        <v>82</v>
      </c>
      <c r="V31" s="6">
        <v>0</v>
      </c>
      <c r="X31" s="5" t="s">
        <v>77</v>
      </c>
      <c r="Y31" s="5" t="s">
        <v>78</v>
      </c>
      <c r="Z31" s="5"/>
      <c r="AA31" s="5" t="s">
        <v>79</v>
      </c>
      <c r="AB31" s="5" t="s">
        <v>80</v>
      </c>
    </row>
    <row r="32" spans="1:32" x14ac:dyDescent="0.2">
      <c r="R32" s="6" t="s">
        <v>52</v>
      </c>
      <c r="S32" s="6">
        <v>10358</v>
      </c>
      <c r="T32" s="6"/>
      <c r="U32" s="6" t="s">
        <v>82</v>
      </c>
      <c r="V32" s="6">
        <f>(S32-S31)/S31*100</f>
        <v>-20.378199707894534</v>
      </c>
      <c r="X32" s="6" t="s">
        <v>81</v>
      </c>
      <c r="Y32" s="6">
        <v>13391</v>
      </c>
      <c r="Z32" s="6"/>
      <c r="AA32" s="6" t="s">
        <v>82</v>
      </c>
      <c r="AB32" s="6">
        <v>0</v>
      </c>
    </row>
    <row r="33" spans="18:28" x14ac:dyDescent="0.2">
      <c r="R33" s="6" t="s">
        <v>69</v>
      </c>
      <c r="S33" s="6">
        <v>11317</v>
      </c>
      <c r="T33" s="6"/>
      <c r="U33" s="6" t="s">
        <v>82</v>
      </c>
      <c r="V33" s="6">
        <f>(S33-S32)/S32*100</f>
        <v>9.2585441204865813</v>
      </c>
      <c r="X33" s="6" t="s">
        <v>52</v>
      </c>
      <c r="Y33" s="6">
        <v>10358</v>
      </c>
      <c r="Z33" s="6"/>
      <c r="AA33" s="6" t="s">
        <v>82</v>
      </c>
      <c r="AB33" s="6">
        <f>(Y33-Y32)/Y32*100</f>
        <v>-22.649540736315434</v>
      </c>
    </row>
    <row r="34" spans="18:28" x14ac:dyDescent="0.2">
      <c r="R34" s="6" t="s">
        <v>38</v>
      </c>
      <c r="S34" s="6">
        <v>5079</v>
      </c>
      <c r="T34" s="6"/>
      <c r="U34" s="6" t="s">
        <v>75</v>
      </c>
      <c r="V34" s="6">
        <v>0</v>
      </c>
      <c r="X34" s="6" t="s">
        <v>69</v>
      </c>
      <c r="Y34" s="6">
        <v>11317</v>
      </c>
      <c r="Z34" s="6"/>
      <c r="AA34" s="6" t="s">
        <v>82</v>
      </c>
      <c r="AB34" s="6">
        <f>(Y34-Y33)/Y33*100</f>
        <v>9.2585441204865813</v>
      </c>
    </row>
    <row r="35" spans="18:28" x14ac:dyDescent="0.2">
      <c r="R35" s="7" t="s">
        <v>52</v>
      </c>
      <c r="S35" s="8">
        <v>4032</v>
      </c>
      <c r="T35" s="6"/>
      <c r="U35" s="6" t="s">
        <v>75</v>
      </c>
      <c r="V35" s="6">
        <f>(S35-S34)/S34*100</f>
        <v>-20.614294152392205</v>
      </c>
      <c r="X35" s="6" t="s">
        <v>81</v>
      </c>
      <c r="Y35" s="6">
        <v>5729</v>
      </c>
      <c r="Z35" s="6"/>
      <c r="AA35" s="6" t="s">
        <v>75</v>
      </c>
      <c r="AB35" s="6">
        <v>0</v>
      </c>
    </row>
    <row r="36" spans="18:28" x14ac:dyDescent="0.2">
      <c r="R36" s="6" t="s">
        <v>69</v>
      </c>
      <c r="S36" s="6">
        <v>4314</v>
      </c>
      <c r="T36" s="6"/>
      <c r="U36" s="6" t="s">
        <v>75</v>
      </c>
      <c r="V36" s="6">
        <f>(S36-S35)/S35*100</f>
        <v>6.9940476190476195</v>
      </c>
      <c r="X36" s="7" t="s">
        <v>52</v>
      </c>
      <c r="Y36" s="8">
        <v>4032</v>
      </c>
      <c r="Z36" s="6"/>
      <c r="AA36" s="6" t="s">
        <v>75</v>
      </c>
      <c r="AB36" s="6">
        <f>(Y36-Y35)/Y35*100</f>
        <v>-29.621225344737301</v>
      </c>
    </row>
    <row r="37" spans="18:28" x14ac:dyDescent="0.2">
      <c r="X37" s="6" t="s">
        <v>69</v>
      </c>
      <c r="Y37" s="6">
        <v>4314</v>
      </c>
      <c r="Z37" s="6"/>
      <c r="AA37" s="6" t="s">
        <v>75</v>
      </c>
      <c r="AB37" s="6">
        <f>(Y37-Y36)/Y36*100</f>
        <v>6.9940476190476195</v>
      </c>
    </row>
    <row r="42" spans="18:28" x14ac:dyDescent="0.2">
      <c r="X42" t="s">
        <v>77</v>
      </c>
      <c r="Y42" t="s">
        <v>82</v>
      </c>
      <c r="AA42" t="s">
        <v>84</v>
      </c>
    </row>
    <row r="43" spans="18:28" x14ac:dyDescent="0.2">
      <c r="X43" s="6" t="s">
        <v>81</v>
      </c>
      <c r="Y43" s="6">
        <v>0</v>
      </c>
      <c r="AA43" s="6">
        <v>0</v>
      </c>
    </row>
    <row r="44" spans="18:28" x14ac:dyDescent="0.2">
      <c r="X44" s="6" t="s">
        <v>52</v>
      </c>
      <c r="Y44" s="6">
        <v>-22.649540736315434</v>
      </c>
      <c r="AA44" s="8">
        <v>-29.621225344737301</v>
      </c>
    </row>
    <row r="45" spans="18:28" x14ac:dyDescent="0.2">
      <c r="X45" s="6" t="s">
        <v>69</v>
      </c>
      <c r="Y45" s="6">
        <v>9.2585441204865813</v>
      </c>
      <c r="AA45" s="6">
        <v>6.9940476190476195</v>
      </c>
    </row>
    <row r="46" spans="18:28" x14ac:dyDescent="0.2">
      <c r="X46" s="6"/>
    </row>
    <row r="47" spans="18:28" x14ac:dyDescent="0.2">
      <c r="X47" s="7"/>
    </row>
    <row r="48" spans="18:28" x14ac:dyDescent="0.2">
      <c r="X48" s="6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2309-967A-A046-8D98-DB957D1B4C9F}">
  <dimension ref="A1:S25"/>
  <sheetViews>
    <sheetView topLeftCell="B1" zoomScale="138" workbookViewId="0">
      <selection activeCell="R8" sqref="R8"/>
    </sheetView>
  </sheetViews>
  <sheetFormatPr baseColWidth="10" defaultRowHeight="16" x14ac:dyDescent="0.2"/>
  <cols>
    <col min="1" max="1" width="0" hidden="1" customWidth="1"/>
    <col min="3" max="5" width="0" hidden="1" customWidth="1"/>
    <col min="8" max="11" width="0" hidden="1" customWidth="1"/>
  </cols>
  <sheetData>
    <row r="1" spans="1:19" s="1" customFormat="1" x14ac:dyDescent="0.2">
      <c r="A1" s="1" t="s">
        <v>1</v>
      </c>
      <c r="B1" s="1" t="s">
        <v>30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48</v>
      </c>
      <c r="K1" s="1" t="s">
        <v>49</v>
      </c>
      <c r="L1" s="1" t="s">
        <v>83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">
      <c r="A2">
        <v>2018</v>
      </c>
      <c r="B2" t="s">
        <v>32</v>
      </c>
      <c r="C2">
        <v>1</v>
      </c>
      <c r="D2">
        <v>18295</v>
      </c>
      <c r="E2">
        <v>825</v>
      </c>
      <c r="F2">
        <v>13391</v>
      </c>
      <c r="G2">
        <v>70.036610878661094</v>
      </c>
      <c r="H2">
        <v>5434</v>
      </c>
      <c r="I2" t="s">
        <v>18</v>
      </c>
      <c r="L2">
        <v>28.42050209205021</v>
      </c>
      <c r="M2">
        <v>63</v>
      </c>
      <c r="N2">
        <f>M2/S2*100</f>
        <v>0.32949790794979078</v>
      </c>
      <c r="O2">
        <v>69</v>
      </c>
      <c r="P2">
        <f>O2/S2*100</f>
        <v>0.36087866108786609</v>
      </c>
      <c r="Q2">
        <v>163</v>
      </c>
      <c r="R2">
        <f>Q2/S2*100</f>
        <v>0.85251046025104604</v>
      </c>
      <c r="S2">
        <v>19120</v>
      </c>
    </row>
    <row r="3" spans="1:19" x14ac:dyDescent="0.2">
      <c r="A3">
        <v>2018</v>
      </c>
      <c r="B3" t="s">
        <v>33</v>
      </c>
      <c r="C3">
        <v>2</v>
      </c>
      <c r="D3">
        <v>18009</v>
      </c>
      <c r="E3">
        <v>796</v>
      </c>
      <c r="F3">
        <v>13223</v>
      </c>
      <c r="G3">
        <v>70.316405211379944</v>
      </c>
      <c r="H3">
        <v>5293</v>
      </c>
      <c r="I3" t="s">
        <v>19</v>
      </c>
      <c r="L3">
        <v>28.146769476203136</v>
      </c>
      <c r="M3">
        <v>55</v>
      </c>
      <c r="N3">
        <f t="shared" ref="N3:N25" si="0">M3/S3*100</f>
        <v>0.29247540547726669</v>
      </c>
      <c r="O3">
        <v>70</v>
      </c>
      <c r="P3">
        <f t="shared" ref="P3:P25" si="1">O3/S3*100</f>
        <v>0.37224142515288489</v>
      </c>
      <c r="Q3">
        <v>164</v>
      </c>
      <c r="R3">
        <f t="shared" ref="R3:R25" si="2">Q3/S3*100</f>
        <v>0.87210848178675882</v>
      </c>
      <c r="S3">
        <v>18805</v>
      </c>
    </row>
    <row r="4" spans="1:19" x14ac:dyDescent="0.2">
      <c r="A4">
        <v>2018</v>
      </c>
      <c r="B4" t="s">
        <v>43</v>
      </c>
      <c r="C4">
        <v>3</v>
      </c>
      <c r="D4">
        <v>17807</v>
      </c>
      <c r="E4">
        <v>807</v>
      </c>
      <c r="F4">
        <v>13126</v>
      </c>
      <c r="G4">
        <v>70.516815300311592</v>
      </c>
      <c r="H4">
        <v>5205</v>
      </c>
      <c r="I4">
        <v>28</v>
      </c>
      <c r="L4">
        <v>27.962823681100247</v>
      </c>
      <c r="M4">
        <v>55</v>
      </c>
      <c r="N4">
        <f t="shared" si="0"/>
        <v>0.29547652304716882</v>
      </c>
      <c r="O4">
        <v>69</v>
      </c>
      <c r="P4">
        <f t="shared" si="1"/>
        <v>0.37068872891372084</v>
      </c>
      <c r="Q4">
        <v>159</v>
      </c>
      <c r="R4">
        <f t="shared" si="2"/>
        <v>0.85419576662726981</v>
      </c>
      <c r="S4">
        <v>18614</v>
      </c>
    </row>
    <row r="5" spans="1:19" x14ac:dyDescent="0.2">
      <c r="A5">
        <v>2018</v>
      </c>
      <c r="B5" t="s">
        <v>34</v>
      </c>
      <c r="C5">
        <v>4</v>
      </c>
      <c r="D5">
        <v>17803</v>
      </c>
      <c r="E5">
        <v>831</v>
      </c>
      <c r="F5">
        <v>13198</v>
      </c>
      <c r="G5">
        <v>70.823718808693314</v>
      </c>
      <c r="H5">
        <v>5174</v>
      </c>
      <c r="I5" t="s">
        <v>22</v>
      </c>
      <c r="L5">
        <v>27.764958411591088</v>
      </c>
      <c r="M5">
        <v>47</v>
      </c>
      <c r="N5">
        <f t="shared" si="0"/>
        <v>0.25221357660316607</v>
      </c>
      <c r="O5">
        <v>67</v>
      </c>
      <c r="P5">
        <f t="shared" si="1"/>
        <v>0.35953850281727928</v>
      </c>
      <c r="Q5">
        <v>149</v>
      </c>
      <c r="R5">
        <f t="shared" si="2"/>
        <v>0.79957070029514354</v>
      </c>
      <c r="S5">
        <v>18635</v>
      </c>
    </row>
    <row r="6" spans="1:19" x14ac:dyDescent="0.2">
      <c r="A6">
        <v>2019</v>
      </c>
      <c r="B6" t="s">
        <v>31</v>
      </c>
      <c r="C6">
        <v>1</v>
      </c>
      <c r="D6">
        <v>17701</v>
      </c>
      <c r="E6">
        <v>842</v>
      </c>
      <c r="F6">
        <v>13177</v>
      </c>
      <c r="G6">
        <v>71.061856226069125</v>
      </c>
      <c r="H6">
        <v>5099</v>
      </c>
      <c r="I6" t="s">
        <v>24</v>
      </c>
      <c r="L6">
        <v>27.498247317046864</v>
      </c>
      <c r="M6">
        <v>49</v>
      </c>
      <c r="N6">
        <f t="shared" si="0"/>
        <v>0.26425066062665153</v>
      </c>
      <c r="O6">
        <v>64</v>
      </c>
      <c r="P6">
        <f t="shared" si="1"/>
        <v>0.34514372000215715</v>
      </c>
      <c r="Q6">
        <v>154</v>
      </c>
      <c r="R6">
        <f t="shared" si="2"/>
        <v>0.83050207625519068</v>
      </c>
      <c r="S6">
        <v>18543</v>
      </c>
    </row>
    <row r="7" spans="1:19" x14ac:dyDescent="0.2">
      <c r="A7">
        <v>2019</v>
      </c>
      <c r="B7" t="s">
        <v>35</v>
      </c>
      <c r="C7">
        <v>2</v>
      </c>
      <c r="D7">
        <v>17617</v>
      </c>
      <c r="E7">
        <v>810</v>
      </c>
      <c r="F7">
        <v>13085</v>
      </c>
      <c r="G7">
        <v>71.009931079394363</v>
      </c>
      <c r="H7">
        <v>5061</v>
      </c>
      <c r="I7" t="s">
        <v>24</v>
      </c>
      <c r="L7">
        <v>27.46513268573289</v>
      </c>
      <c r="M7">
        <v>49</v>
      </c>
      <c r="N7">
        <f t="shared" si="0"/>
        <v>0.26591414771802246</v>
      </c>
      <c r="O7">
        <v>66</v>
      </c>
      <c r="P7">
        <f t="shared" si="1"/>
        <v>0.35817007651815275</v>
      </c>
      <c r="Q7">
        <v>166</v>
      </c>
      <c r="R7">
        <f t="shared" si="2"/>
        <v>0.90085201063656584</v>
      </c>
      <c r="S7">
        <v>18427</v>
      </c>
    </row>
    <row r="8" spans="1:19" x14ac:dyDescent="0.2">
      <c r="A8">
        <v>2019</v>
      </c>
      <c r="B8" t="s">
        <v>44</v>
      </c>
      <c r="C8">
        <v>3</v>
      </c>
      <c r="D8">
        <v>17546</v>
      </c>
      <c r="E8">
        <v>798</v>
      </c>
      <c r="F8">
        <v>13051</v>
      </c>
      <c r="G8">
        <v>71.145878761447889</v>
      </c>
      <c r="H8">
        <v>5010</v>
      </c>
      <c r="I8" t="s">
        <v>25</v>
      </c>
      <c r="L8">
        <v>27.311382468382035</v>
      </c>
      <c r="M8">
        <v>47</v>
      </c>
      <c r="N8">
        <f t="shared" si="0"/>
        <v>0.25621456607064985</v>
      </c>
      <c r="O8">
        <v>67</v>
      </c>
      <c r="P8">
        <f t="shared" si="1"/>
        <v>0.36524204099433061</v>
      </c>
      <c r="Q8">
        <v>169</v>
      </c>
      <c r="R8">
        <f t="shared" si="2"/>
        <v>0.92128216310510247</v>
      </c>
      <c r="S8">
        <v>18344</v>
      </c>
    </row>
    <row r="9" spans="1:19" x14ac:dyDescent="0.2">
      <c r="A9">
        <v>2019</v>
      </c>
      <c r="B9" t="s">
        <v>36</v>
      </c>
      <c r="C9">
        <v>4</v>
      </c>
      <c r="D9">
        <v>17478</v>
      </c>
      <c r="E9">
        <v>766</v>
      </c>
      <c r="F9">
        <v>13035</v>
      </c>
      <c r="G9">
        <v>71.448147336110495</v>
      </c>
      <c r="H9">
        <v>4931</v>
      </c>
      <c r="I9">
        <v>27</v>
      </c>
      <c r="L9">
        <v>27.028064021048014</v>
      </c>
      <c r="M9">
        <v>48</v>
      </c>
      <c r="N9">
        <f t="shared" si="0"/>
        <v>0.263100197325148</v>
      </c>
      <c r="O9">
        <v>67</v>
      </c>
      <c r="P9">
        <f t="shared" si="1"/>
        <v>0.36724402543301909</v>
      </c>
      <c r="Q9">
        <v>163</v>
      </c>
      <c r="R9">
        <f t="shared" si="2"/>
        <v>0.89344442008331504</v>
      </c>
      <c r="S9">
        <v>18244</v>
      </c>
    </row>
    <row r="10" spans="1:19" x14ac:dyDescent="0.2">
      <c r="A10">
        <v>2020</v>
      </c>
      <c r="B10" t="s">
        <v>37</v>
      </c>
      <c r="C10">
        <v>1</v>
      </c>
      <c r="D10">
        <v>17443</v>
      </c>
      <c r="E10">
        <v>759</v>
      </c>
      <c r="F10">
        <v>13056</v>
      </c>
      <c r="G10">
        <v>71.728381496538844</v>
      </c>
      <c r="H10">
        <v>4870</v>
      </c>
      <c r="I10" t="s">
        <v>26</v>
      </c>
      <c r="L10">
        <v>26.755301615207124</v>
      </c>
      <c r="M10">
        <v>50</v>
      </c>
      <c r="N10">
        <f t="shared" si="0"/>
        <v>0.2746950884518185</v>
      </c>
      <c r="O10">
        <v>66</v>
      </c>
      <c r="P10">
        <f t="shared" si="1"/>
        <v>0.3625975167564004</v>
      </c>
      <c r="Q10">
        <v>160</v>
      </c>
      <c r="R10">
        <f t="shared" si="2"/>
        <v>0.87902428304581925</v>
      </c>
      <c r="S10">
        <v>18202</v>
      </c>
    </row>
    <row r="11" spans="1:19" x14ac:dyDescent="0.2">
      <c r="A11">
        <v>2020</v>
      </c>
      <c r="B11" t="s">
        <v>38</v>
      </c>
      <c r="C11">
        <v>2</v>
      </c>
      <c r="D11">
        <v>17369</v>
      </c>
      <c r="E11">
        <v>719</v>
      </c>
      <c r="F11">
        <v>13009</v>
      </c>
      <c r="G11">
        <v>71.920610349402921</v>
      </c>
      <c r="H11">
        <v>4798</v>
      </c>
      <c r="I11" t="s">
        <v>28</v>
      </c>
      <c r="L11">
        <v>26.525873507297653</v>
      </c>
      <c r="M11">
        <v>49</v>
      </c>
      <c r="N11">
        <f t="shared" si="0"/>
        <v>0.27089783281733748</v>
      </c>
      <c r="O11">
        <v>72</v>
      </c>
      <c r="P11">
        <f t="shared" si="1"/>
        <v>0.39805395842547547</v>
      </c>
      <c r="Q11">
        <v>160</v>
      </c>
      <c r="R11">
        <f t="shared" si="2"/>
        <v>0.88456435205661221</v>
      </c>
      <c r="S11">
        <v>18088</v>
      </c>
    </row>
    <row r="12" spans="1:19" x14ac:dyDescent="0.2">
      <c r="A12">
        <v>2020</v>
      </c>
      <c r="B12" t="s">
        <v>45</v>
      </c>
      <c r="C12">
        <v>3</v>
      </c>
      <c r="D12">
        <v>17200</v>
      </c>
      <c r="E12">
        <v>683</v>
      </c>
      <c r="F12">
        <v>12883</v>
      </c>
      <c r="G12">
        <v>72.040485377173852</v>
      </c>
      <c r="H12">
        <v>4715</v>
      </c>
      <c r="I12" t="s">
        <v>27</v>
      </c>
      <c r="L12">
        <v>26.36582228932506</v>
      </c>
      <c r="M12">
        <v>47</v>
      </c>
      <c r="N12">
        <f t="shared" si="0"/>
        <v>0.26281943745456576</v>
      </c>
      <c r="O12">
        <v>72</v>
      </c>
      <c r="P12">
        <f t="shared" si="1"/>
        <v>0.40261701056869653</v>
      </c>
      <c r="Q12">
        <v>166</v>
      </c>
      <c r="R12">
        <f t="shared" si="2"/>
        <v>0.92825588547782811</v>
      </c>
      <c r="S12">
        <v>17883</v>
      </c>
    </row>
    <row r="13" spans="1:19" x14ac:dyDescent="0.2">
      <c r="A13">
        <v>2020</v>
      </c>
      <c r="B13" t="s">
        <v>40</v>
      </c>
      <c r="C13">
        <v>4</v>
      </c>
      <c r="D13">
        <v>16058</v>
      </c>
      <c r="E13">
        <v>594</v>
      </c>
      <c r="F13">
        <v>12027</v>
      </c>
      <c r="G13">
        <v>72.225558491472498</v>
      </c>
      <c r="H13">
        <v>4364</v>
      </c>
      <c r="I13" t="s">
        <v>29</v>
      </c>
      <c r="L13">
        <v>26.207062214748976</v>
      </c>
      <c r="M13">
        <v>44</v>
      </c>
      <c r="N13">
        <f t="shared" si="0"/>
        <v>0.26423252462166708</v>
      </c>
      <c r="O13">
        <v>67</v>
      </c>
      <c r="P13">
        <f t="shared" si="1"/>
        <v>0.40235407158299302</v>
      </c>
      <c r="Q13">
        <v>150</v>
      </c>
      <c r="R13">
        <f t="shared" si="2"/>
        <v>0.90079269757386504</v>
      </c>
      <c r="S13">
        <v>16652</v>
      </c>
    </row>
    <row r="14" spans="1:19" x14ac:dyDescent="0.2">
      <c r="A14">
        <v>2021</v>
      </c>
      <c r="B14" t="s">
        <v>41</v>
      </c>
      <c r="C14">
        <v>1</v>
      </c>
      <c r="D14">
        <v>15433</v>
      </c>
      <c r="E14">
        <v>554</v>
      </c>
      <c r="F14">
        <v>11537</v>
      </c>
      <c r="G14">
        <v>72.164883968224174</v>
      </c>
      <c r="H14">
        <v>4195</v>
      </c>
      <c r="I14" t="s">
        <v>29</v>
      </c>
      <c r="L14">
        <v>26.240070056921251</v>
      </c>
      <c r="M14">
        <v>41</v>
      </c>
      <c r="N14">
        <f t="shared" si="0"/>
        <v>0.25645837242759745</v>
      </c>
      <c r="O14">
        <v>61</v>
      </c>
      <c r="P14">
        <f t="shared" si="1"/>
        <v>0.3815600175142303</v>
      </c>
      <c r="Q14">
        <v>153</v>
      </c>
      <c r="R14">
        <f t="shared" si="2"/>
        <v>0.95702758491274154</v>
      </c>
      <c r="S14">
        <v>15987</v>
      </c>
    </row>
    <row r="15" spans="1:19" x14ac:dyDescent="0.2">
      <c r="A15">
        <v>2021</v>
      </c>
      <c r="B15" t="s">
        <v>39</v>
      </c>
      <c r="C15">
        <v>2</v>
      </c>
      <c r="D15">
        <v>14858</v>
      </c>
      <c r="E15">
        <v>520</v>
      </c>
      <c r="F15">
        <v>11090</v>
      </c>
      <c r="G15">
        <v>72.116009884250232</v>
      </c>
      <c r="H15">
        <v>4031</v>
      </c>
      <c r="I15" t="s">
        <v>29</v>
      </c>
      <c r="L15">
        <v>26.212771491741449</v>
      </c>
      <c r="M15">
        <v>40</v>
      </c>
      <c r="N15">
        <f t="shared" si="0"/>
        <v>0.26011184809468069</v>
      </c>
      <c r="O15">
        <v>61</v>
      </c>
      <c r="P15">
        <f t="shared" si="1"/>
        <v>0.39667056834438807</v>
      </c>
      <c r="Q15">
        <v>156</v>
      </c>
      <c r="R15">
        <f t="shared" si="2"/>
        <v>1.0144362075692548</v>
      </c>
      <c r="S15">
        <v>15378</v>
      </c>
    </row>
    <row r="16" spans="1:19" x14ac:dyDescent="0.2">
      <c r="A16">
        <v>2021</v>
      </c>
      <c r="B16" t="s">
        <v>46</v>
      </c>
      <c r="C16">
        <v>3</v>
      </c>
      <c r="D16">
        <v>14333</v>
      </c>
      <c r="E16">
        <v>480</v>
      </c>
      <c r="F16">
        <v>10680</v>
      </c>
      <c r="G16">
        <v>72.098832106933102</v>
      </c>
      <c r="H16">
        <v>3356</v>
      </c>
      <c r="I16" t="s">
        <v>47</v>
      </c>
      <c r="J16">
        <v>662</v>
      </c>
      <c r="K16" t="s">
        <v>50</v>
      </c>
      <c r="L16">
        <v>27.124822790791868</v>
      </c>
      <c r="M16">
        <v>32</v>
      </c>
      <c r="N16">
        <f t="shared" si="0"/>
        <v>0.21602646324174712</v>
      </c>
      <c r="O16">
        <v>53</v>
      </c>
      <c r="P16">
        <f t="shared" si="1"/>
        <v>0.35779382974414364</v>
      </c>
      <c r="Q16">
        <v>30</v>
      </c>
      <c r="R16">
        <f t="shared" si="2"/>
        <v>0.20252480928913794</v>
      </c>
      <c r="S16">
        <v>14813</v>
      </c>
    </row>
    <row r="17" spans="1:19" x14ac:dyDescent="0.2">
      <c r="A17">
        <v>2021</v>
      </c>
      <c r="B17" t="s">
        <v>52</v>
      </c>
      <c r="C17">
        <v>4</v>
      </c>
      <c r="D17">
        <v>13922</v>
      </c>
      <c r="E17">
        <v>468</v>
      </c>
      <c r="F17">
        <v>10358</v>
      </c>
      <c r="G17">
        <v>71.980542043085478</v>
      </c>
      <c r="H17">
        <v>3243</v>
      </c>
      <c r="I17" t="s">
        <v>53</v>
      </c>
      <c r="J17">
        <v>675</v>
      </c>
      <c r="K17" t="s">
        <v>54</v>
      </c>
      <c r="L17">
        <v>27.227241139680338</v>
      </c>
      <c r="M17">
        <v>33</v>
      </c>
      <c r="N17">
        <f t="shared" si="0"/>
        <v>0.22932592077831829</v>
      </c>
      <c r="O17">
        <v>50</v>
      </c>
      <c r="P17">
        <f t="shared" si="1"/>
        <v>0.34746351633078526</v>
      </c>
      <c r="Q17">
        <v>31</v>
      </c>
      <c r="R17">
        <f t="shared" si="2"/>
        <v>0.21542738012508686</v>
      </c>
      <c r="S17">
        <v>14390</v>
      </c>
    </row>
    <row r="18" spans="1:19" x14ac:dyDescent="0.2">
      <c r="A18">
        <v>2022</v>
      </c>
      <c r="B18" t="s">
        <v>55</v>
      </c>
      <c r="C18">
        <v>1</v>
      </c>
      <c r="D18">
        <v>14176</v>
      </c>
      <c r="E18">
        <v>487</v>
      </c>
      <c r="F18">
        <v>10523</v>
      </c>
      <c r="G18">
        <v>71.765668689899755</v>
      </c>
      <c r="H18">
        <v>3327</v>
      </c>
      <c r="I18" t="s">
        <v>56</v>
      </c>
      <c r="J18">
        <v>691</v>
      </c>
      <c r="K18" t="s">
        <v>54</v>
      </c>
      <c r="L18">
        <v>27.402305121734976</v>
      </c>
      <c r="M18">
        <v>33</v>
      </c>
      <c r="N18">
        <f t="shared" si="0"/>
        <v>0.22505626406601648</v>
      </c>
      <c r="O18">
        <v>55</v>
      </c>
      <c r="P18">
        <f t="shared" si="1"/>
        <v>0.37509377344336081</v>
      </c>
      <c r="Q18">
        <v>34</v>
      </c>
      <c r="R18">
        <f t="shared" si="2"/>
        <v>0.2318761508558958</v>
      </c>
      <c r="S18">
        <v>14663</v>
      </c>
    </row>
    <row r="19" spans="1:19" x14ac:dyDescent="0.2">
      <c r="A19">
        <v>2022</v>
      </c>
      <c r="B19" t="s">
        <v>57</v>
      </c>
      <c r="C19">
        <v>2</v>
      </c>
      <c r="D19">
        <v>14359</v>
      </c>
      <c r="E19">
        <v>505</v>
      </c>
      <c r="F19">
        <v>10664</v>
      </c>
      <c r="G19">
        <v>71.743810548977393</v>
      </c>
      <c r="H19">
        <v>3378</v>
      </c>
      <c r="I19" t="s">
        <v>47</v>
      </c>
      <c r="J19">
        <v>698</v>
      </c>
      <c r="K19" t="s">
        <v>54</v>
      </c>
      <c r="L19">
        <v>27.421959095801938</v>
      </c>
      <c r="M19">
        <v>35</v>
      </c>
      <c r="N19">
        <f t="shared" si="0"/>
        <v>0.23546824542518838</v>
      </c>
      <c r="O19">
        <v>55</v>
      </c>
      <c r="P19">
        <f t="shared" si="1"/>
        <v>0.37002152852529602</v>
      </c>
      <c r="Q19">
        <v>34</v>
      </c>
      <c r="R19">
        <f t="shared" si="2"/>
        <v>0.22874058127018301</v>
      </c>
      <c r="S19">
        <v>14864</v>
      </c>
    </row>
    <row r="20" spans="1:19" x14ac:dyDescent="0.2">
      <c r="A20">
        <v>2022</v>
      </c>
      <c r="B20" t="s">
        <v>58</v>
      </c>
      <c r="C20">
        <v>3</v>
      </c>
      <c r="D20">
        <v>14365</v>
      </c>
      <c r="E20">
        <v>502</v>
      </c>
      <c r="F20">
        <v>10646</v>
      </c>
      <c r="G20">
        <v>71.608259904486445</v>
      </c>
      <c r="H20">
        <v>3409</v>
      </c>
      <c r="I20" t="s">
        <v>59</v>
      </c>
      <c r="J20">
        <v>691</v>
      </c>
      <c r="K20" t="s">
        <v>60</v>
      </c>
      <c r="L20">
        <v>27.577856998722002</v>
      </c>
      <c r="M20">
        <v>31</v>
      </c>
      <c r="N20">
        <f t="shared" si="0"/>
        <v>0.20851550413667855</v>
      </c>
      <c r="O20">
        <v>58</v>
      </c>
      <c r="P20">
        <f t="shared" si="1"/>
        <v>0.39012578193314051</v>
      </c>
      <c r="Q20">
        <v>32</v>
      </c>
      <c r="R20">
        <f t="shared" si="2"/>
        <v>0.21524181072173271</v>
      </c>
      <c r="S20">
        <v>14867</v>
      </c>
    </row>
    <row r="21" spans="1:19" x14ac:dyDescent="0.2">
      <c r="A21">
        <v>2022</v>
      </c>
      <c r="B21" t="s">
        <v>61</v>
      </c>
      <c r="C21">
        <v>4</v>
      </c>
      <c r="D21">
        <v>14470</v>
      </c>
      <c r="E21">
        <v>513</v>
      </c>
      <c r="F21">
        <v>10719</v>
      </c>
      <c r="G21">
        <v>71.541079890542619</v>
      </c>
      <c r="H21">
        <v>3433</v>
      </c>
      <c r="I21" t="s">
        <v>59</v>
      </c>
      <c r="J21">
        <v>712</v>
      </c>
      <c r="K21" t="s">
        <v>62</v>
      </c>
      <c r="L21">
        <v>27.664686644864179</v>
      </c>
      <c r="M21">
        <v>33</v>
      </c>
      <c r="N21">
        <f t="shared" si="0"/>
        <v>0.22024961623172928</v>
      </c>
      <c r="O21">
        <v>54</v>
      </c>
      <c r="P21">
        <f t="shared" si="1"/>
        <v>0.3604084629246479</v>
      </c>
      <c r="Q21">
        <v>32</v>
      </c>
      <c r="R21">
        <f t="shared" si="2"/>
        <v>0.21357538543682841</v>
      </c>
      <c r="S21">
        <v>14983</v>
      </c>
    </row>
    <row r="22" spans="1:19" x14ac:dyDescent="0.2">
      <c r="A22">
        <v>2023</v>
      </c>
      <c r="B22" t="s">
        <v>63</v>
      </c>
      <c r="C22">
        <v>1</v>
      </c>
      <c r="D22">
        <v>14658</v>
      </c>
      <c r="E22">
        <v>524</v>
      </c>
      <c r="F22">
        <v>10908</v>
      </c>
      <c r="G22">
        <v>71.848241338427087</v>
      </c>
      <c r="H22">
        <v>3419</v>
      </c>
      <c r="I22" t="s">
        <v>53</v>
      </c>
      <c r="J22">
        <v>736</v>
      </c>
      <c r="K22" t="s">
        <v>62</v>
      </c>
      <c r="L22">
        <v>27.36793571334475</v>
      </c>
      <c r="M22">
        <v>32</v>
      </c>
      <c r="N22">
        <f t="shared" si="0"/>
        <v>0.21077591885127123</v>
      </c>
      <c r="O22">
        <v>56</v>
      </c>
      <c r="P22">
        <f t="shared" si="1"/>
        <v>0.36885785798972465</v>
      </c>
      <c r="Q22">
        <v>21</v>
      </c>
      <c r="R22">
        <f t="shared" si="2"/>
        <v>0.13832169674614675</v>
      </c>
      <c r="S22">
        <v>15182</v>
      </c>
    </row>
    <row r="23" spans="1:19" x14ac:dyDescent="0.2">
      <c r="A23">
        <v>2023</v>
      </c>
      <c r="B23" t="s">
        <v>64</v>
      </c>
      <c r="C23">
        <v>2</v>
      </c>
      <c r="D23">
        <v>14796</v>
      </c>
      <c r="E23">
        <v>533</v>
      </c>
      <c r="F23">
        <v>11027</v>
      </c>
      <c r="G23">
        <v>71.935547002413728</v>
      </c>
      <c r="H23">
        <v>3427</v>
      </c>
      <c r="I23" t="s">
        <v>65</v>
      </c>
      <c r="J23">
        <v>749</v>
      </c>
      <c r="K23" t="s">
        <v>66</v>
      </c>
      <c r="L23">
        <v>27.242481570878731</v>
      </c>
      <c r="M23">
        <v>34</v>
      </c>
      <c r="N23">
        <f t="shared" si="0"/>
        <v>0.22180181355600498</v>
      </c>
      <c r="O23">
        <v>60</v>
      </c>
      <c r="P23">
        <f t="shared" si="1"/>
        <v>0.39141496509883228</v>
      </c>
      <c r="Q23">
        <v>32</v>
      </c>
      <c r="R23">
        <f t="shared" si="2"/>
        <v>0.20875464805271055</v>
      </c>
      <c r="S23">
        <v>15329</v>
      </c>
    </row>
    <row r="24" spans="1:19" x14ac:dyDescent="0.2">
      <c r="A24">
        <v>2023</v>
      </c>
      <c r="B24" t="s">
        <v>67</v>
      </c>
      <c r="C24">
        <v>3</v>
      </c>
      <c r="D24">
        <v>14895</v>
      </c>
      <c r="E24">
        <v>562</v>
      </c>
      <c r="F24">
        <v>11158</v>
      </c>
      <c r="G24">
        <v>72.187358478359315</v>
      </c>
      <c r="H24">
        <v>3414</v>
      </c>
      <c r="I24" t="s">
        <v>68</v>
      </c>
      <c r="J24">
        <v>757</v>
      </c>
      <c r="K24" t="s">
        <v>66</v>
      </c>
      <c r="L24">
        <v>26.984537749886783</v>
      </c>
      <c r="M24">
        <v>30</v>
      </c>
      <c r="N24">
        <f t="shared" si="0"/>
        <v>0.19408682150481985</v>
      </c>
      <c r="O24">
        <v>64</v>
      </c>
      <c r="P24">
        <f t="shared" si="1"/>
        <v>0.41405188587694897</v>
      </c>
      <c r="Q24">
        <v>34</v>
      </c>
      <c r="R24">
        <f t="shared" si="2"/>
        <v>0.21996506437212912</v>
      </c>
      <c r="S24">
        <v>15457</v>
      </c>
    </row>
    <row r="25" spans="1:19" x14ac:dyDescent="0.2">
      <c r="A25">
        <v>2023</v>
      </c>
      <c r="B25" t="s">
        <v>69</v>
      </c>
      <c r="C25">
        <v>4</v>
      </c>
      <c r="D25">
        <v>15042</v>
      </c>
      <c r="E25">
        <v>589</v>
      </c>
      <c r="F25">
        <v>11317</v>
      </c>
      <c r="G25">
        <v>72.400998016761562</v>
      </c>
      <c r="H25">
        <v>3411</v>
      </c>
      <c r="I25" t="s">
        <v>70</v>
      </c>
      <c r="J25">
        <v>773</v>
      </c>
      <c r="K25" t="s">
        <v>66</v>
      </c>
      <c r="L25">
        <v>26.767321348602135</v>
      </c>
      <c r="M25">
        <v>28</v>
      </c>
      <c r="N25">
        <f t="shared" si="0"/>
        <v>0.17913121361397222</v>
      </c>
      <c r="O25">
        <v>69</v>
      </c>
      <c r="P25">
        <f t="shared" si="1"/>
        <v>0.44143049069157447</v>
      </c>
      <c r="Q25">
        <v>33</v>
      </c>
      <c r="R25">
        <f t="shared" si="2"/>
        <v>0.21111893033075299</v>
      </c>
      <c r="S25">
        <v>15631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C38E-81AB-D24D-84EB-D90B1EED7B6C}">
  <dimension ref="A1:C25"/>
  <sheetViews>
    <sheetView workbookViewId="0">
      <selection activeCell="B17" sqref="B17"/>
    </sheetView>
  </sheetViews>
  <sheetFormatPr baseColWidth="10" defaultRowHeight="16" x14ac:dyDescent="0.2"/>
  <cols>
    <col min="3" max="3" width="10.83203125" style="3"/>
  </cols>
  <sheetData>
    <row r="1" spans="1:3" x14ac:dyDescent="0.2">
      <c r="A1" s="1" t="s">
        <v>5</v>
      </c>
      <c r="B1" s="1" t="s">
        <v>83</v>
      </c>
      <c r="C1" s="2" t="s">
        <v>30</v>
      </c>
    </row>
    <row r="2" spans="1:3" x14ac:dyDescent="0.2">
      <c r="A2">
        <v>70.036610878661094</v>
      </c>
      <c r="B2">
        <v>28.42050209205021</v>
      </c>
      <c r="C2" s="3" t="s">
        <v>32</v>
      </c>
    </row>
    <row r="3" spans="1:3" x14ac:dyDescent="0.2">
      <c r="A3">
        <v>70.316405211379944</v>
      </c>
      <c r="B3">
        <v>28.146769476203136</v>
      </c>
      <c r="C3" s="3" t="s">
        <v>33</v>
      </c>
    </row>
    <row r="4" spans="1:3" x14ac:dyDescent="0.2">
      <c r="A4">
        <v>70.516815300311592</v>
      </c>
      <c r="B4">
        <v>27.962823681100247</v>
      </c>
      <c r="C4" s="3" t="s">
        <v>43</v>
      </c>
    </row>
    <row r="5" spans="1:3" x14ac:dyDescent="0.2">
      <c r="A5">
        <v>70.823718808693314</v>
      </c>
      <c r="B5">
        <v>27.764958411591088</v>
      </c>
      <c r="C5" s="3" t="s">
        <v>34</v>
      </c>
    </row>
    <row r="6" spans="1:3" x14ac:dyDescent="0.2">
      <c r="A6">
        <v>71.061856226069125</v>
      </c>
      <c r="B6">
        <v>27.498247317046864</v>
      </c>
      <c r="C6" s="3" t="s">
        <v>31</v>
      </c>
    </row>
    <row r="7" spans="1:3" x14ac:dyDescent="0.2">
      <c r="A7">
        <v>71.009931079394363</v>
      </c>
      <c r="B7">
        <v>27.46513268573289</v>
      </c>
      <c r="C7" s="3" t="s">
        <v>35</v>
      </c>
    </row>
    <row r="8" spans="1:3" x14ac:dyDescent="0.2">
      <c r="A8">
        <v>71.145878761447889</v>
      </c>
      <c r="B8">
        <v>27.311382468382035</v>
      </c>
      <c r="C8" s="3" t="s">
        <v>44</v>
      </c>
    </row>
    <row r="9" spans="1:3" x14ac:dyDescent="0.2">
      <c r="A9">
        <v>71.448147336110495</v>
      </c>
      <c r="B9">
        <v>27.028064021048014</v>
      </c>
      <c r="C9" s="3" t="s">
        <v>36</v>
      </c>
    </row>
    <row r="10" spans="1:3" x14ac:dyDescent="0.2">
      <c r="A10">
        <v>71.728381496538844</v>
      </c>
      <c r="B10">
        <v>26.755301615207124</v>
      </c>
      <c r="C10" s="3" t="s">
        <v>37</v>
      </c>
    </row>
    <row r="11" spans="1:3" x14ac:dyDescent="0.2">
      <c r="A11">
        <v>71.920610349402921</v>
      </c>
      <c r="B11">
        <v>26.525873507297653</v>
      </c>
      <c r="C11" s="3" t="s">
        <v>38</v>
      </c>
    </row>
    <row r="12" spans="1:3" x14ac:dyDescent="0.2">
      <c r="A12">
        <v>72.040485377173852</v>
      </c>
      <c r="B12">
        <v>26.36582228932506</v>
      </c>
      <c r="C12" s="3" t="s">
        <v>45</v>
      </c>
    </row>
    <row r="13" spans="1:3" x14ac:dyDescent="0.2">
      <c r="A13">
        <v>72.225558491472498</v>
      </c>
      <c r="B13">
        <v>26.207062214748976</v>
      </c>
      <c r="C13" s="3" t="s">
        <v>40</v>
      </c>
    </row>
    <row r="14" spans="1:3" x14ac:dyDescent="0.2">
      <c r="A14">
        <v>72.164883968224174</v>
      </c>
      <c r="B14">
        <v>26.240070056921251</v>
      </c>
      <c r="C14" s="3" t="s">
        <v>41</v>
      </c>
    </row>
    <row r="15" spans="1:3" x14ac:dyDescent="0.2">
      <c r="A15">
        <v>72.116009884250232</v>
      </c>
      <c r="B15">
        <v>26.212771491741449</v>
      </c>
      <c r="C15" s="3" t="s">
        <v>39</v>
      </c>
    </row>
    <row r="16" spans="1:3" x14ac:dyDescent="0.2">
      <c r="A16">
        <v>72.098832106933102</v>
      </c>
      <c r="B16">
        <v>27.124822790791868</v>
      </c>
      <c r="C16" s="3" t="s">
        <v>46</v>
      </c>
    </row>
    <row r="17" spans="1:3" x14ac:dyDescent="0.2">
      <c r="A17">
        <v>71.980542043085478</v>
      </c>
      <c r="B17">
        <v>27.227241139680338</v>
      </c>
      <c r="C17" s="3" t="s">
        <v>52</v>
      </c>
    </row>
    <row r="18" spans="1:3" x14ac:dyDescent="0.2">
      <c r="A18">
        <v>71.765668689899755</v>
      </c>
      <c r="B18">
        <v>27.402305121734976</v>
      </c>
      <c r="C18" s="3" t="s">
        <v>55</v>
      </c>
    </row>
    <row r="19" spans="1:3" x14ac:dyDescent="0.2">
      <c r="A19">
        <v>71.743810548977393</v>
      </c>
      <c r="B19">
        <v>27.421959095801938</v>
      </c>
      <c r="C19" s="3" t="s">
        <v>57</v>
      </c>
    </row>
    <row r="20" spans="1:3" x14ac:dyDescent="0.2">
      <c r="A20">
        <v>71.608259904486445</v>
      </c>
      <c r="B20">
        <v>27.577856998722002</v>
      </c>
      <c r="C20" s="3" t="s">
        <v>58</v>
      </c>
    </row>
    <row r="21" spans="1:3" x14ac:dyDescent="0.2">
      <c r="A21">
        <v>71.541079890542619</v>
      </c>
      <c r="B21">
        <v>27.664686644864179</v>
      </c>
      <c r="C21" s="3" t="s">
        <v>61</v>
      </c>
    </row>
    <row r="22" spans="1:3" x14ac:dyDescent="0.2">
      <c r="A22">
        <v>71.848241338427087</v>
      </c>
      <c r="B22">
        <v>27.36793571334475</v>
      </c>
      <c r="C22" s="3" t="s">
        <v>63</v>
      </c>
    </row>
    <row r="23" spans="1:3" x14ac:dyDescent="0.2">
      <c r="A23">
        <v>71.935547002413728</v>
      </c>
      <c r="B23">
        <v>27.242481570878731</v>
      </c>
      <c r="C23" s="3" t="s">
        <v>64</v>
      </c>
    </row>
    <row r="24" spans="1:3" x14ac:dyDescent="0.2">
      <c r="A24">
        <v>72.187358478359315</v>
      </c>
      <c r="B24">
        <v>26.984537749886783</v>
      </c>
      <c r="C24" s="3" t="s">
        <v>67</v>
      </c>
    </row>
    <row r="25" spans="1:3" x14ac:dyDescent="0.2">
      <c r="A25">
        <v>72.400998016761562</v>
      </c>
      <c r="B25">
        <v>26.767321348602135</v>
      </c>
      <c r="C25" s="3" t="s">
        <v>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Wölfl</dc:creator>
  <cp:lastModifiedBy>Lisa Wölfl</cp:lastModifiedBy>
  <dcterms:created xsi:type="dcterms:W3CDTF">2024-03-12T16:32:45Z</dcterms:created>
  <dcterms:modified xsi:type="dcterms:W3CDTF">2024-03-17T19:35:47Z</dcterms:modified>
</cp:coreProperties>
</file>